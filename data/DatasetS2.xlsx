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ria\Documents\Postdoc1\climate\"/>
    </mc:Choice>
  </mc:AlternateContent>
  <xr:revisionPtr revIDLastSave="0" documentId="13_ncr:1_{EE422133-ED59-4615-9661-72338ECC89F7}" xr6:coauthVersionLast="47" xr6:coauthVersionMax="47" xr10:uidLastSave="{00000000-0000-0000-0000-000000000000}"/>
  <bookViews>
    <workbookView xWindow="28680" yWindow="-120" windowWidth="29040" windowHeight="15720" xr2:uid="{4E03D358-5E94-46D8-B09B-467AA2BE5134}"/>
  </bookViews>
  <sheets>
    <sheet name="Metadata" sheetId="2" r:id="rId1"/>
    <sheet name="PCA_scor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2" i="1" l="1"/>
  <c r="J16" i="1"/>
  <c r="Q99" i="1"/>
  <c r="P99" i="1"/>
  <c r="N99" i="1"/>
  <c r="M99" i="1"/>
  <c r="K99" i="1"/>
  <c r="J99" i="1"/>
  <c r="Q113" i="1"/>
  <c r="P113" i="1"/>
  <c r="N113" i="1"/>
  <c r="M113" i="1"/>
  <c r="K113" i="1"/>
  <c r="J113" i="1"/>
  <c r="K109" i="1"/>
  <c r="J109" i="1"/>
  <c r="P93" i="1"/>
  <c r="Q93" i="1"/>
  <c r="N93" i="1"/>
  <c r="M93" i="1"/>
  <c r="K93" i="1"/>
  <c r="J93" i="1"/>
  <c r="Q87" i="1"/>
  <c r="P87" i="1"/>
  <c r="N87" i="1"/>
  <c r="M87" i="1"/>
  <c r="K87" i="1"/>
  <c r="J87" i="1"/>
  <c r="Q82" i="1"/>
  <c r="N82" i="1"/>
  <c r="M82" i="1"/>
  <c r="K82" i="1"/>
  <c r="J82" i="1"/>
  <c r="Q73" i="1"/>
  <c r="P73" i="1"/>
  <c r="N73" i="1"/>
  <c r="M73" i="1"/>
  <c r="K73" i="1"/>
  <c r="J73" i="1"/>
  <c r="Q66" i="1"/>
  <c r="P66" i="1"/>
  <c r="N66" i="1"/>
  <c r="M66" i="1"/>
  <c r="Q63" i="1"/>
  <c r="P63" i="1"/>
  <c r="K66" i="1"/>
  <c r="J66" i="1"/>
  <c r="N63" i="1"/>
  <c r="M63" i="1"/>
  <c r="K63" i="1"/>
  <c r="J63" i="1"/>
  <c r="Q58" i="1"/>
  <c r="P58" i="1"/>
  <c r="N58" i="1"/>
  <c r="M58" i="1"/>
  <c r="K58" i="1"/>
  <c r="J58" i="1"/>
  <c r="K55" i="1"/>
  <c r="J55" i="1"/>
  <c r="Q46" i="1"/>
  <c r="P46" i="1"/>
  <c r="N46" i="1"/>
  <c r="M46" i="1"/>
  <c r="K46" i="1"/>
  <c r="J46" i="1"/>
  <c r="K41" i="1"/>
  <c r="J41" i="1"/>
  <c r="Q38" i="1"/>
  <c r="P38" i="1"/>
  <c r="N38" i="1"/>
  <c r="M38" i="1"/>
  <c r="K38" i="1"/>
  <c r="J38" i="1"/>
  <c r="K33" i="1"/>
  <c r="J33" i="1"/>
  <c r="K29" i="1"/>
  <c r="J29" i="1"/>
  <c r="Q26" i="1"/>
  <c r="P26" i="1"/>
  <c r="N26" i="1"/>
  <c r="M26" i="1"/>
  <c r="K26" i="1"/>
  <c r="J26" i="1"/>
  <c r="Q21" i="1"/>
  <c r="P21" i="1"/>
  <c r="N21" i="1"/>
  <c r="M21" i="1"/>
  <c r="K21" i="1"/>
  <c r="J21" i="1"/>
  <c r="Q16" i="1"/>
  <c r="P16" i="1"/>
  <c r="M16" i="1"/>
  <c r="N16" i="1"/>
  <c r="K16" i="1"/>
  <c r="M11" i="1"/>
  <c r="N11" i="1"/>
  <c r="Q8" i="1"/>
  <c r="P8" i="1"/>
  <c r="N8" i="1"/>
  <c r="M8" i="1"/>
  <c r="K8" i="1"/>
  <c r="J8" i="1"/>
</calcChain>
</file>

<file path=xl/sharedStrings.xml><?xml version="1.0" encoding="utf-8"?>
<sst xmlns="http://schemas.openxmlformats.org/spreadsheetml/2006/main" count="293" uniqueCount="100">
  <si>
    <t>Bedouin</t>
  </si>
  <si>
    <t>Population</t>
  </si>
  <si>
    <t>Lon</t>
  </si>
  <si>
    <t>Lat</t>
  </si>
  <si>
    <t>Region</t>
  </si>
  <si>
    <t>PC1</t>
  </si>
  <si>
    <t>PC2</t>
  </si>
  <si>
    <t>San</t>
  </si>
  <si>
    <t>BantuSouthafrica</t>
  </si>
  <si>
    <t>BantuKenia</t>
  </si>
  <si>
    <t>Mbuti</t>
  </si>
  <si>
    <t>Biaka</t>
  </si>
  <si>
    <t>Yorubas</t>
  </si>
  <si>
    <t>Mandenka</t>
  </si>
  <si>
    <t>Mozabite</t>
  </si>
  <si>
    <t>Palestinians</t>
  </si>
  <si>
    <t>Druze</t>
  </si>
  <si>
    <t>Adygei</t>
  </si>
  <si>
    <t>BergamoItalian</t>
  </si>
  <si>
    <t>Tuscan</t>
  </si>
  <si>
    <t>Sardinian</t>
  </si>
  <si>
    <t>Basque</t>
  </si>
  <si>
    <t>French</t>
  </si>
  <si>
    <t>Orcadian</t>
  </si>
  <si>
    <t>Russian</t>
  </si>
  <si>
    <t>Balochi</t>
  </si>
  <si>
    <t>Brahui</t>
  </si>
  <si>
    <t>Makrani</t>
  </si>
  <si>
    <t>Sindhi</t>
  </si>
  <si>
    <t>Kalash</t>
  </si>
  <si>
    <t>Hazara</t>
  </si>
  <si>
    <t>Pathan</t>
  </si>
  <si>
    <t>Burusho</t>
  </si>
  <si>
    <t>Uygur</t>
  </si>
  <si>
    <t>Xibo</t>
  </si>
  <si>
    <t>Yi</t>
  </si>
  <si>
    <t>Naxi</t>
  </si>
  <si>
    <t>Lahu</t>
  </si>
  <si>
    <t>Dai</t>
  </si>
  <si>
    <t>Cambodian</t>
  </si>
  <si>
    <t>She</t>
  </si>
  <si>
    <t>Han</t>
  </si>
  <si>
    <t>Miao</t>
  </si>
  <si>
    <t>Tujia</t>
  </si>
  <si>
    <t>NorthHan</t>
  </si>
  <si>
    <t>Tu</t>
  </si>
  <si>
    <t>Oroqen</t>
  </si>
  <si>
    <t>Daur</t>
  </si>
  <si>
    <t>Hezhen</t>
  </si>
  <si>
    <t>Japonese</t>
  </si>
  <si>
    <t>Yakut</t>
  </si>
  <si>
    <t>Mongolian</t>
  </si>
  <si>
    <t>PapuanHighlands</t>
  </si>
  <si>
    <t>PapuanSepik</t>
  </si>
  <si>
    <t>Bougainville</t>
  </si>
  <si>
    <t>Pima</t>
  </si>
  <si>
    <t>Maya</t>
  </si>
  <si>
    <t>Colombian</t>
  </si>
  <si>
    <t>Karitina</t>
  </si>
  <si>
    <t>Surui</t>
  </si>
  <si>
    <t>Africa</t>
  </si>
  <si>
    <t>MidEast</t>
  </si>
  <si>
    <t>Europe</t>
  </si>
  <si>
    <t>Asia</t>
  </si>
  <si>
    <t>Oceania</t>
  </si>
  <si>
    <t>NAmerica</t>
  </si>
  <si>
    <t>SAmerica</t>
  </si>
  <si>
    <t>Current</t>
  </si>
  <si>
    <t>Average</t>
  </si>
  <si>
    <t>≈ 92 km</t>
  </si>
  <si>
    <t>≈ 90 km</t>
  </si>
  <si>
    <t>≈ 92.5 km</t>
  </si>
  <si>
    <t>≈5,900 km2</t>
  </si>
  <si>
    <t>≈ 6,700 km²</t>
  </si>
  <si>
    <t>Original information for each population</t>
  </si>
  <si>
    <t>PCA scores at nearest time slice to Neolithic onset</t>
  </si>
  <si>
    <t>PCA scores at nearest time slice to Urbanization onset</t>
  </si>
  <si>
    <t>Current PCA scores</t>
  </si>
  <si>
    <t>Neolithic onset (BP)</t>
  </si>
  <si>
    <t>Urbanization onset (BP)</t>
  </si>
  <si>
    <t>Coordinates of the nearest raster cell used to extract PCA scores</t>
  </si>
  <si>
    <t>PCA scores across temporal slices</t>
  </si>
  <si>
    <t>Time slice (BP)</t>
  </si>
  <si>
    <r>
      <rPr>
        <b/>
        <sz val="12"/>
        <color theme="1"/>
        <rFont val="Times New Roman"/>
        <family val="1"/>
      </rPr>
      <t>Dataset S1</t>
    </r>
    <r>
      <rPr>
        <sz val="12"/>
        <color theme="1"/>
        <rFont val="Times New Roman"/>
        <family val="1"/>
      </rPr>
      <t>. PCA-derived climatic variables across temporal slices for HGDP populations</t>
    </r>
  </si>
  <si>
    <t>This Excel file compiles climatic variation summarized through principal component analysis (PCA) for each of the 54 populations in the Human Genome Diversity Project (HGDP). PCA scores were extracted from CHELSA v2.1 bioclimatic rasters and the CHELSA-TraCE21k database. The CHELSA-TraCE21k dataset provides global climatic reconstructions spanning the last 20,000 years. For this study, these rasters were sampled at 1,000-year intervals and aggregated from 1 km to ~100 km resolution prior to extraction. For each population, PCA scores were obtained from the nearest raster cells and from the closest available temporal slice to the estimated timing of Neolithic and urbanization onset.</t>
  </si>
  <si>
    <t>Column labels</t>
  </si>
  <si>
    <t>"PCA_scores" Worksheet</t>
  </si>
  <si>
    <t>Longitude of the raster cell closest to the population location after aggregation to ~100 km resolution.</t>
  </si>
  <si>
    <t>PC1, PC2</t>
  </si>
  <si>
    <t>Principal component scores extracted from the corresponding raster cells.</t>
  </si>
  <si>
    <t>Estimated timing of the beginning of the Neolithic period for each population, expressed in years before present (BP).</t>
  </si>
  <si>
    <t>Original geographic latitude of each population.</t>
  </si>
  <si>
    <t>Original geographic longitude of each population.</t>
  </si>
  <si>
    <t>Geographic region to which each population belongs.</t>
  </si>
  <si>
    <t>Name of each of the 54 populations included in the HGDP dataset.</t>
  </si>
  <si>
    <t>Latitude of the raster cell closest to the population location after aggregation.</t>
  </si>
  <si>
    <t>Estimated timing of the onset of the Urbanization period for each population, expressed in years before present (BP).</t>
  </si>
  <si>
    <t>Closest sampled temporal slice (1,000-year intervals) to the Neolithic onset.</t>
  </si>
  <si>
    <t>Closest sampled temporal slice (1,000-year intervals) to the urbanization onset.</t>
  </si>
  <si>
    <t>Principal component scores for present-day climatic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</si>
</sst>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name val="Aptos Narrow"/>
      <family val="2"/>
      <scheme val="minor"/>
    </font>
    <font>
      <sz val="11"/>
      <color theme="1"/>
      <name val="Times New Roman"/>
      <family val="1"/>
    </font>
    <font>
      <sz val="12"/>
      <color theme="1"/>
      <name val="Times New Roman"/>
      <family val="1"/>
    </font>
    <font>
      <b/>
      <sz val="12"/>
      <color theme="1"/>
      <name val="Times New Roman"/>
      <family val="1"/>
    </font>
    <font>
      <sz val="11"/>
      <color theme="5"/>
      <name val="Times New Roman"/>
      <family val="1"/>
    </font>
    <font>
      <sz val="11"/>
      <name val="Times New Roman"/>
      <family val="1"/>
    </font>
  </fonts>
  <fills count="6">
    <fill>
      <patternFill patternType="none"/>
    </fill>
    <fill>
      <patternFill patternType="gray125"/>
    </fill>
    <fill>
      <patternFill patternType="solid">
        <fgColor rgb="FFFFE5FF"/>
        <bgColor indexed="64"/>
      </patternFill>
    </fill>
    <fill>
      <patternFill patternType="solid">
        <fgColor rgb="FFD9FFD9"/>
        <bgColor indexed="64"/>
      </patternFill>
    </fill>
    <fill>
      <patternFill patternType="solid">
        <fgColor rgb="FFDDF2FF"/>
        <bgColor indexed="64"/>
      </patternFill>
    </fill>
    <fill>
      <patternFill patternType="solid">
        <fgColor rgb="FFFFFFD9"/>
        <bgColor indexed="64"/>
      </patternFill>
    </fill>
  </fills>
  <borders count="8">
    <border>
      <left/>
      <right/>
      <top/>
      <bottom/>
      <diagonal/>
    </border>
    <border>
      <left/>
      <right/>
      <top style="thin">
        <color theme="1" tint="0.34998626667073579"/>
      </top>
      <bottom/>
      <diagonal/>
    </border>
    <border>
      <left/>
      <right/>
      <top/>
      <bottom style="thin">
        <color theme="1" tint="0.34998626667073579"/>
      </bottom>
      <diagonal/>
    </border>
    <border>
      <left/>
      <right/>
      <top style="thin">
        <color theme="1" tint="0.34998626667073579"/>
      </top>
      <bottom style="thin">
        <color theme="1" tint="0.34998626667073579"/>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theme="1" tint="0.34998626667073579"/>
      </bottom>
      <diagonal/>
    </border>
    <border>
      <left/>
      <right/>
      <top style="thin">
        <color indexed="64"/>
      </top>
      <bottom/>
      <diagonal/>
    </border>
  </borders>
  <cellStyleXfs count="1">
    <xf numFmtId="0" fontId="0" fillId="0" borderId="0"/>
  </cellStyleXfs>
  <cellXfs count="124">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4"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4" borderId="0" xfId="0" applyFont="1" applyFill="1" applyAlignment="1">
      <alignment horizontal="right"/>
    </xf>
    <xf numFmtId="0" fontId="2" fillId="4" borderId="0" xfId="0" applyFont="1" applyFill="1"/>
    <xf numFmtId="0" fontId="2" fillId="3" borderId="0" xfId="0" applyFont="1" applyFill="1" applyAlignment="1">
      <alignment horizontal="center" vertical="center"/>
    </xf>
    <xf numFmtId="0" fontId="2" fillId="3" borderId="0" xfId="0" applyFont="1" applyFill="1"/>
    <xf numFmtId="0" fontId="2" fillId="2" borderId="0" xfId="0" applyFont="1" applyFill="1" applyAlignment="1">
      <alignment horizontal="center" vertical="center"/>
    </xf>
    <xf numFmtId="0" fontId="2" fillId="2" borderId="0" xfId="0" applyFont="1" applyFill="1" applyAlignment="1">
      <alignment horizontal="right"/>
    </xf>
    <xf numFmtId="0" fontId="2" fillId="5" borderId="0" xfId="0" applyFont="1" applyFill="1" applyAlignment="1">
      <alignment horizontal="center" vertical="center"/>
    </xf>
    <xf numFmtId="0" fontId="2" fillId="5" borderId="0" xfId="0" applyFont="1" applyFill="1"/>
    <xf numFmtId="0" fontId="5" fillId="4" borderId="2" xfId="0" applyFont="1" applyFill="1" applyBorder="1"/>
    <xf numFmtId="0" fontId="2" fillId="4" borderId="2" xfId="0" applyFont="1" applyFill="1" applyBorder="1"/>
    <xf numFmtId="0" fontId="2" fillId="3" borderId="2" xfId="0" applyFont="1" applyFill="1" applyBorder="1"/>
    <xf numFmtId="0" fontId="2" fillId="2" borderId="2" xfId="0" applyFont="1" applyFill="1" applyBorder="1" applyAlignment="1">
      <alignment horizontal="right"/>
    </xf>
    <xf numFmtId="0" fontId="2" fillId="5" borderId="2" xfId="0" applyFont="1" applyFill="1" applyBorder="1" applyAlignment="1">
      <alignment horizontal="center"/>
    </xf>
    <xf numFmtId="0" fontId="2" fillId="5" borderId="2" xfId="0" applyFont="1" applyFill="1" applyBorder="1"/>
    <xf numFmtId="0" fontId="2" fillId="0" borderId="1" xfId="0" applyFont="1" applyBorder="1" applyAlignment="1">
      <alignment horizontal="center" vertical="center"/>
    </xf>
    <xf numFmtId="0" fontId="2" fillId="4" borderId="1" xfId="0" applyFont="1" applyFill="1" applyBorder="1"/>
    <xf numFmtId="0" fontId="2" fillId="3" borderId="1" xfId="0" applyFont="1" applyFill="1" applyBorder="1" applyAlignment="1">
      <alignment horizontal="center" vertical="center"/>
    </xf>
    <xf numFmtId="0" fontId="2" fillId="3"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horizontal="right"/>
    </xf>
    <xf numFmtId="0" fontId="2" fillId="5" borderId="1" xfId="0" applyFont="1" applyFill="1" applyBorder="1" applyAlignment="1">
      <alignment horizontal="center"/>
    </xf>
    <xf numFmtId="0" fontId="2" fillId="5" borderId="1" xfId="0" applyFont="1" applyFill="1" applyBorder="1" applyAlignment="1">
      <alignment horizontal="right"/>
    </xf>
    <xf numFmtId="0" fontId="2" fillId="3" borderId="0" xfId="0" applyFont="1" applyFill="1" applyAlignment="1">
      <alignment horizontal="center" vertical="center"/>
    </xf>
    <xf numFmtId="0" fontId="2" fillId="2" borderId="0" xfId="0" applyFont="1" applyFill="1" applyAlignment="1">
      <alignment horizontal="center"/>
    </xf>
    <xf numFmtId="0" fontId="2" fillId="5" borderId="0" xfId="0" applyFont="1" applyFill="1" applyAlignment="1">
      <alignment horizont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xf numFmtId="0" fontId="2" fillId="2" borderId="0" xfId="0" applyFont="1" applyFill="1" applyAlignment="1">
      <alignment vertical="center"/>
    </xf>
    <xf numFmtId="0" fontId="2" fillId="2" borderId="0" xfId="0" applyFont="1" applyFill="1"/>
    <xf numFmtId="0" fontId="5" fillId="4" borderId="0" xfId="0" applyFont="1" applyFill="1"/>
    <xf numFmtId="0" fontId="2" fillId="2" borderId="2" xfId="0" applyFont="1" applyFill="1" applyBorder="1"/>
    <xf numFmtId="0" fontId="2" fillId="3" borderId="0" xfId="0" applyFont="1" applyFill="1" applyAlignment="1">
      <alignment horizontal="center"/>
    </xf>
    <xf numFmtId="0" fontId="2" fillId="2" borderId="0" xfId="0" applyFont="1" applyFill="1" applyAlignment="1">
      <alignment horizontal="center" vertical="center"/>
    </xf>
    <xf numFmtId="0" fontId="2" fillId="3" borderId="2" xfId="0" applyFont="1" applyFill="1" applyBorder="1" applyAlignment="1">
      <alignment horizontal="center"/>
    </xf>
    <xf numFmtId="0" fontId="2" fillId="0" borderId="3" xfId="0" applyFont="1" applyBorder="1" applyAlignment="1">
      <alignment horizontal="center"/>
    </xf>
    <xf numFmtId="0" fontId="2" fillId="4" borderId="3" xfId="0" applyFont="1" applyFill="1" applyBorder="1"/>
    <xf numFmtId="0" fontId="2" fillId="3" borderId="3" xfId="0" applyFont="1" applyFill="1" applyBorder="1" applyAlignment="1">
      <alignment horizontal="center"/>
    </xf>
    <xf numFmtId="0" fontId="2" fillId="3" borderId="3" xfId="0" applyFont="1" applyFill="1" applyBorder="1"/>
    <xf numFmtId="0" fontId="2" fillId="2" borderId="3" xfId="0" applyFont="1" applyFill="1" applyBorder="1" applyAlignment="1">
      <alignment horizontal="center"/>
    </xf>
    <xf numFmtId="0" fontId="2" fillId="2" borderId="3" xfId="0" applyFont="1" applyFill="1" applyBorder="1"/>
    <xf numFmtId="0" fontId="2" fillId="5" borderId="3" xfId="0" applyFont="1" applyFill="1" applyBorder="1" applyAlignment="1">
      <alignment horizontal="center"/>
    </xf>
    <xf numFmtId="0" fontId="2" fillId="5" borderId="3" xfId="0" applyFont="1" applyFill="1" applyBorder="1"/>
    <xf numFmtId="0" fontId="2" fillId="3" borderId="1" xfId="0" applyFont="1" applyFill="1" applyBorder="1" applyAlignment="1">
      <alignment horizontal="center"/>
    </xf>
    <xf numFmtId="0" fontId="2" fillId="2" borderId="1" xfId="0" applyFont="1" applyFill="1" applyBorder="1" applyAlignment="1">
      <alignment horizontal="center" vertical="center"/>
    </xf>
    <xf numFmtId="0" fontId="2" fillId="2" borderId="1" xfId="0" applyFont="1" applyFill="1" applyBorder="1"/>
    <xf numFmtId="0" fontId="2" fillId="5" borderId="1" xfId="0" applyFont="1" applyFill="1" applyBorder="1" applyAlignment="1">
      <alignment horizontal="center" vertical="center"/>
    </xf>
    <xf numFmtId="0" fontId="2" fillId="5" borderId="0" xfId="0" applyFont="1" applyFill="1" applyAlignment="1">
      <alignment horizontal="center" vertical="center"/>
    </xf>
    <xf numFmtId="0" fontId="2" fillId="2" borderId="2" xfId="0" applyFont="1" applyFill="1" applyBorder="1" applyAlignment="1">
      <alignment horizontal="center"/>
    </xf>
    <xf numFmtId="0" fontId="2" fillId="2" borderId="0" xfId="0" applyFont="1" applyFill="1" applyAlignment="1">
      <alignment horizontal="right" vertical="center"/>
    </xf>
    <xf numFmtId="0" fontId="2" fillId="5" borderId="0" xfId="0" applyFont="1" applyFill="1" applyAlignment="1">
      <alignment horizontal="right"/>
    </xf>
    <xf numFmtId="0" fontId="6" fillId="4" borderId="0" xfId="0" applyFont="1" applyFill="1"/>
    <xf numFmtId="0" fontId="6" fillId="3" borderId="1" xfId="0" applyFont="1" applyFill="1" applyBorder="1" applyAlignment="1">
      <alignment horizontal="center" vertical="center"/>
    </xf>
    <xf numFmtId="0" fontId="6" fillId="3" borderId="0" xfId="0" applyFont="1" applyFill="1"/>
    <xf numFmtId="0" fontId="6" fillId="3" borderId="0" xfId="0" applyFont="1" applyFill="1" applyAlignment="1">
      <alignment horizontal="center" vertical="center"/>
    </xf>
    <xf numFmtId="0" fontId="6" fillId="4" borderId="2" xfId="0" applyFont="1" applyFill="1" applyBorder="1"/>
    <xf numFmtId="0" fontId="6" fillId="3" borderId="2" xfId="0" applyFont="1" applyFill="1" applyBorder="1" applyAlignment="1">
      <alignment horizontal="center"/>
    </xf>
    <xf numFmtId="0" fontId="6" fillId="3" borderId="2" xfId="0" applyFont="1" applyFill="1" applyBorder="1"/>
    <xf numFmtId="0" fontId="6" fillId="2" borderId="2" xfId="0" applyFont="1" applyFill="1" applyBorder="1" applyAlignment="1">
      <alignment horizontal="center"/>
    </xf>
    <xf numFmtId="0" fontId="6" fillId="2" borderId="2" xfId="0" applyFont="1" applyFill="1" applyBorder="1"/>
    <xf numFmtId="0" fontId="6" fillId="5" borderId="2" xfId="0" applyFont="1" applyFill="1" applyBorder="1" applyAlignment="1">
      <alignment horizontal="center"/>
    </xf>
    <xf numFmtId="0" fontId="6" fillId="5" borderId="2" xfId="0" applyFont="1" applyFill="1" applyBorder="1"/>
    <xf numFmtId="0" fontId="2" fillId="5" borderId="2" xfId="0" applyFont="1" applyFill="1" applyBorder="1" applyAlignment="1">
      <alignment horizontal="right"/>
    </xf>
    <xf numFmtId="0" fontId="2" fillId="2" borderId="5" xfId="0" applyFont="1" applyFill="1" applyBorder="1" applyAlignment="1">
      <alignment horizontal="right"/>
    </xf>
    <xf numFmtId="0" fontId="2" fillId="5" borderId="6" xfId="0" applyFont="1" applyFill="1" applyBorder="1" applyAlignment="1">
      <alignment horizontal="right"/>
    </xf>
    <xf numFmtId="0" fontId="2" fillId="2" borderId="7" xfId="0" applyFont="1" applyFill="1" applyBorder="1"/>
    <xf numFmtId="0" fontId="2" fillId="5" borderId="6" xfId="0" applyFont="1" applyFill="1" applyBorder="1"/>
    <xf numFmtId="0" fontId="2" fillId="2" borderId="5" xfId="0" applyFont="1" applyFill="1" applyBorder="1"/>
    <xf numFmtId="0" fontId="2" fillId="5" borderId="5" xfId="0" applyFont="1" applyFill="1" applyBorder="1"/>
    <xf numFmtId="0" fontId="2" fillId="0" borderId="4" xfId="0" applyFont="1" applyBorder="1" applyAlignment="1">
      <alignment horizontal="center" vertical="center"/>
    </xf>
    <xf numFmtId="0" fontId="2" fillId="4" borderId="4" xfId="0" applyFont="1" applyFill="1" applyBorder="1"/>
    <xf numFmtId="0" fontId="2" fillId="3" borderId="4" xfId="0" applyFont="1" applyFill="1" applyBorder="1" applyAlignment="1">
      <alignment horizontal="center" vertical="center"/>
    </xf>
    <xf numFmtId="0" fontId="2" fillId="3" borderId="4" xfId="0" applyFont="1" applyFill="1" applyBorder="1"/>
    <xf numFmtId="0" fontId="2" fillId="2" borderId="4" xfId="0" applyFont="1" applyFill="1" applyBorder="1" applyAlignment="1">
      <alignment horizontal="center"/>
    </xf>
    <xf numFmtId="0" fontId="2" fillId="2" borderId="4" xfId="0" applyFont="1" applyFill="1" applyBorder="1"/>
    <xf numFmtId="0" fontId="2" fillId="5" borderId="4" xfId="0" applyFont="1" applyFill="1" applyBorder="1" applyAlignment="1">
      <alignment horizontal="center"/>
    </xf>
    <xf numFmtId="0" fontId="2" fillId="5" borderId="4" xfId="0" applyFont="1" applyFill="1" applyBorder="1"/>
    <xf numFmtId="0" fontId="2" fillId="0" borderId="7" xfId="0" applyFont="1" applyBorder="1" applyAlignment="1">
      <alignment horizontal="center" vertical="center"/>
    </xf>
    <xf numFmtId="0" fontId="2" fillId="2"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2" borderId="4" xfId="0" applyFont="1" applyFill="1" applyBorder="1" applyAlignment="1">
      <alignment horizontal="right"/>
    </xf>
    <xf numFmtId="0" fontId="2" fillId="5" borderId="4" xfId="0" applyFont="1" applyFill="1" applyBorder="1" applyAlignment="1">
      <alignment horizontal="right"/>
    </xf>
    <xf numFmtId="0" fontId="2" fillId="0" borderId="5" xfId="0" applyFont="1" applyBorder="1" applyAlignment="1">
      <alignment horizontal="center"/>
    </xf>
    <xf numFmtId="0" fontId="2" fillId="4" borderId="5" xfId="0" applyFont="1" applyFill="1" applyBorder="1"/>
    <xf numFmtId="0" fontId="2" fillId="3" borderId="5" xfId="0" applyFont="1" applyFill="1" applyBorder="1" applyAlignment="1">
      <alignment horizontal="center"/>
    </xf>
    <xf numFmtId="0" fontId="2" fillId="3" borderId="5" xfId="0" applyFont="1" applyFill="1" applyBorder="1"/>
    <xf numFmtId="0" fontId="2" fillId="2" borderId="5" xfId="0" applyFont="1" applyFill="1" applyBorder="1" applyAlignment="1">
      <alignment horizontal="center"/>
    </xf>
    <xf numFmtId="0" fontId="2" fillId="5" borderId="5" xfId="0" applyFont="1" applyFill="1" applyBorder="1" applyAlignment="1">
      <alignment horizontal="center"/>
    </xf>
    <xf numFmtId="0" fontId="2" fillId="5" borderId="5" xfId="0" applyFont="1" applyFill="1" applyBorder="1" applyAlignment="1">
      <alignment horizontal="right"/>
    </xf>
    <xf numFmtId="0" fontId="2" fillId="5" borderId="7" xfId="0" applyFont="1" applyFill="1" applyBorder="1" applyAlignment="1">
      <alignment horizontal="right"/>
    </xf>
    <xf numFmtId="0" fontId="2" fillId="0" borderId="4" xfId="0" applyFont="1" applyBorder="1" applyAlignment="1">
      <alignment horizontal="center"/>
    </xf>
    <xf numFmtId="0" fontId="2" fillId="3" borderId="4" xfId="0" applyFont="1" applyFill="1" applyBorder="1" applyAlignment="1">
      <alignment horizontal="center"/>
    </xf>
    <xf numFmtId="0" fontId="2" fillId="0" borderId="7" xfId="0" applyFont="1" applyBorder="1" applyAlignment="1">
      <alignment horizontal="center"/>
    </xf>
    <xf numFmtId="0" fontId="6" fillId="4" borderId="7" xfId="0" applyFont="1" applyFill="1" applyBorder="1"/>
    <xf numFmtId="0" fontId="2" fillId="3" borderId="7" xfId="0" applyFont="1" applyFill="1" applyBorder="1" applyAlignment="1">
      <alignment horizontal="center" vertical="center"/>
    </xf>
    <xf numFmtId="0" fontId="2" fillId="3" borderId="7" xfId="0" applyFont="1" applyFill="1" applyBorder="1"/>
    <xf numFmtId="0" fontId="2" fillId="2" borderId="7" xfId="0" applyFont="1" applyFill="1" applyBorder="1" applyAlignment="1">
      <alignment horizontal="right"/>
    </xf>
    <xf numFmtId="0" fontId="2" fillId="0" borderId="0" xfId="0" applyFont="1" applyAlignment="1">
      <alignment horizontal="center"/>
    </xf>
    <xf numFmtId="0" fontId="6" fillId="4" borderId="4" xfId="0" applyFont="1" applyFill="1" applyBorder="1"/>
    <xf numFmtId="0" fontId="6" fillId="4" borderId="5" xfId="0" applyFont="1" applyFill="1" applyBorder="1"/>
    <xf numFmtId="0" fontId="2" fillId="4" borderId="7" xfId="0" applyFont="1" applyFill="1" applyBorder="1"/>
    <xf numFmtId="0" fontId="2" fillId="5" borderId="7" xfId="0" applyFont="1" applyFill="1" applyBorder="1"/>
    <xf numFmtId="0" fontId="4" fillId="0" borderId="0" xfId="0" applyFont="1" applyAlignment="1">
      <alignment vertical="center"/>
    </xf>
    <xf numFmtId="0" fontId="4" fillId="0" borderId="0" xfId="0" applyFont="1"/>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FFFFD9"/>
      <color rgb="FFFFE5FF"/>
      <color rgb="FFD9FFD9"/>
      <color rgb="FFDDF2FF"/>
      <color rgb="FFFFFFCC"/>
      <color rgb="FFC5FFC5"/>
      <color rgb="FFFFCCFF"/>
      <color rgb="FFCCECFF"/>
      <color rgb="FFCC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5F679-2010-4D5F-A23F-9D202D1D61F4}">
  <dimension ref="A2:B33"/>
  <sheetViews>
    <sheetView tabSelected="1" zoomScale="115" zoomScaleNormal="115" workbookViewId="0">
      <selection activeCell="B13" sqref="B13"/>
    </sheetView>
  </sheetViews>
  <sheetFormatPr baseColWidth="10" defaultColWidth="8.88671875" defaultRowHeight="14.4" x14ac:dyDescent="0.3"/>
  <cols>
    <col min="1" max="1" width="61.33203125" customWidth="1"/>
    <col min="2" max="2" width="72.6640625" customWidth="1"/>
  </cols>
  <sheetData>
    <row r="2" spans="1:2" ht="15.6" x14ac:dyDescent="0.3">
      <c r="A2" s="3" t="s">
        <v>83</v>
      </c>
    </row>
    <row r="3" spans="1:2" ht="80.400000000000006" customHeight="1" x14ac:dyDescent="0.3">
      <c r="A3" s="123" t="s">
        <v>84</v>
      </c>
      <c r="B3" s="123"/>
    </row>
    <row r="5" spans="1:2" ht="15.6" x14ac:dyDescent="0.3">
      <c r="A5" s="122" t="s">
        <v>86</v>
      </c>
    </row>
    <row r="7" spans="1:2" ht="15.6" x14ac:dyDescent="0.3">
      <c r="A7" s="121" t="s">
        <v>85</v>
      </c>
    </row>
    <row r="8" spans="1:2" ht="15.6" x14ac:dyDescent="0.3">
      <c r="A8" s="121"/>
    </row>
    <row r="9" spans="1:2" ht="15.6" x14ac:dyDescent="0.3">
      <c r="A9" s="122" t="s">
        <v>1</v>
      </c>
      <c r="B9" s="2" t="s">
        <v>94</v>
      </c>
    </row>
    <row r="10" spans="1:2" ht="15.6" x14ac:dyDescent="0.3">
      <c r="A10" s="122"/>
    </row>
    <row r="11" spans="1:2" ht="15.6" x14ac:dyDescent="0.3">
      <c r="A11" s="122" t="s">
        <v>74</v>
      </c>
    </row>
    <row r="12" spans="1:2" ht="15.6" x14ac:dyDescent="0.3">
      <c r="A12" s="122" t="s">
        <v>4</v>
      </c>
      <c r="B12" s="2" t="s">
        <v>93</v>
      </c>
    </row>
    <row r="13" spans="1:2" ht="15.6" x14ac:dyDescent="0.3">
      <c r="A13" s="122" t="s">
        <v>2</v>
      </c>
      <c r="B13" s="2" t="s">
        <v>92</v>
      </c>
    </row>
    <row r="14" spans="1:2" ht="15.6" x14ac:dyDescent="0.3">
      <c r="A14" s="122" t="s">
        <v>3</v>
      </c>
      <c r="B14" s="2" t="s">
        <v>91</v>
      </c>
    </row>
    <row r="15" spans="1:2" ht="15.6" x14ac:dyDescent="0.3">
      <c r="A15" s="122" t="s">
        <v>78</v>
      </c>
      <c r="B15" s="2" t="s">
        <v>90</v>
      </c>
    </row>
    <row r="16" spans="1:2" ht="15.6" x14ac:dyDescent="0.3">
      <c r="A16" s="122" t="s">
        <v>79</v>
      </c>
      <c r="B16" s="2" t="s">
        <v>96</v>
      </c>
    </row>
    <row r="17" spans="1:2" ht="15.6" x14ac:dyDescent="0.3">
      <c r="A17" s="122"/>
    </row>
    <row r="18" spans="1:2" ht="15.6" x14ac:dyDescent="0.3">
      <c r="A18" s="122" t="s">
        <v>81</v>
      </c>
    </row>
    <row r="19" spans="1:2" ht="15.6" x14ac:dyDescent="0.3">
      <c r="A19" s="122" t="s">
        <v>80</v>
      </c>
      <c r="B19" s="2"/>
    </row>
    <row r="20" spans="1:2" ht="15.6" x14ac:dyDescent="0.3">
      <c r="A20" s="122" t="s">
        <v>2</v>
      </c>
      <c r="B20" s="2" t="s">
        <v>87</v>
      </c>
    </row>
    <row r="21" spans="1:2" ht="15.6" x14ac:dyDescent="0.3">
      <c r="A21" s="122" t="s">
        <v>3</v>
      </c>
      <c r="B21" s="2" t="s">
        <v>95</v>
      </c>
    </row>
    <row r="22" spans="1:2" ht="15.6" x14ac:dyDescent="0.3">
      <c r="A22" s="122"/>
      <c r="B22" s="2"/>
    </row>
    <row r="23" spans="1:2" ht="15.6" x14ac:dyDescent="0.3">
      <c r="A23" s="122" t="s">
        <v>75</v>
      </c>
      <c r="B23" s="2"/>
    </row>
    <row r="24" spans="1:2" ht="15.6" x14ac:dyDescent="0.3">
      <c r="A24" s="122" t="s">
        <v>82</v>
      </c>
      <c r="B24" s="2" t="s">
        <v>97</v>
      </c>
    </row>
    <row r="25" spans="1:2" ht="15.6" x14ac:dyDescent="0.3">
      <c r="A25" s="122" t="s">
        <v>88</v>
      </c>
      <c r="B25" s="2" t="s">
        <v>89</v>
      </c>
    </row>
    <row r="26" spans="1:2" ht="15.6" x14ac:dyDescent="0.3">
      <c r="A26" s="122"/>
      <c r="B26" s="2"/>
    </row>
    <row r="27" spans="1:2" ht="15.6" x14ac:dyDescent="0.3">
      <c r="A27" s="122" t="s">
        <v>76</v>
      </c>
      <c r="B27" s="2"/>
    </row>
    <row r="28" spans="1:2" ht="15.6" x14ac:dyDescent="0.3">
      <c r="A28" s="122" t="s">
        <v>82</v>
      </c>
      <c r="B28" s="2" t="s">
        <v>98</v>
      </c>
    </row>
    <row r="29" spans="1:2" ht="15.6" x14ac:dyDescent="0.3">
      <c r="A29" s="122" t="s">
        <v>88</v>
      </c>
      <c r="B29" s="2" t="s">
        <v>89</v>
      </c>
    </row>
    <row r="30" spans="1:2" ht="15.6" x14ac:dyDescent="0.3">
      <c r="A30" s="122"/>
      <c r="B30" s="2"/>
    </row>
    <row r="31" spans="1:2" ht="15.6" x14ac:dyDescent="0.3">
      <c r="A31" s="122" t="s">
        <v>77</v>
      </c>
      <c r="B31" s="2"/>
    </row>
    <row r="32" spans="1:2" ht="15.6" x14ac:dyDescent="0.3">
      <c r="A32" s="122" t="s">
        <v>88</v>
      </c>
      <c r="B32" s="2" t="s">
        <v>99</v>
      </c>
    </row>
    <row r="33" spans="1:1" ht="15.6" x14ac:dyDescent="0.3">
      <c r="A33" s="122"/>
    </row>
  </sheetData>
  <mergeCells count="1">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7A919-EB52-461A-8776-66F7952D3952}">
  <dimension ref="A1:Q113"/>
  <sheetViews>
    <sheetView zoomScale="120" zoomScaleNormal="120" workbookViewId="0">
      <pane xSplit="1" ySplit="3" topLeftCell="B4" activePane="bottomRight" state="frozen"/>
      <selection pane="topRight" activeCell="B1" sqref="B1"/>
      <selection pane="bottomLeft" activeCell="A3" sqref="A3"/>
      <selection pane="bottomRight" activeCell="O3" sqref="O3"/>
    </sheetView>
  </sheetViews>
  <sheetFormatPr baseColWidth="10" defaultColWidth="8.88671875" defaultRowHeight="14.4" x14ac:dyDescent="0.3"/>
  <cols>
    <col min="1" max="1" width="17" style="2" customWidth="1"/>
    <col min="2" max="2" width="10.44140625" style="2" customWidth="1"/>
    <col min="3" max="4" width="6.6640625" style="2" customWidth="1"/>
    <col min="5" max="8" width="11.5546875" style="2" customWidth="1"/>
    <col min="9" max="9" width="12" style="116" customWidth="1"/>
    <col min="10" max="11" width="8.77734375" style="116"/>
    <col min="12" max="12" width="12" style="116" customWidth="1"/>
    <col min="13" max="14" width="8.88671875" style="2"/>
    <col min="15" max="15" width="12" style="116" customWidth="1"/>
    <col min="16" max="17" width="8.88671875" style="2"/>
  </cols>
  <sheetData>
    <row r="1" spans="1:17" ht="14.4" customHeight="1" x14ac:dyDescent="0.3">
      <c r="A1" s="4" t="s">
        <v>1</v>
      </c>
      <c r="B1" s="4" t="s">
        <v>74</v>
      </c>
      <c r="C1" s="4"/>
      <c r="D1" s="4"/>
      <c r="E1" s="4"/>
      <c r="F1" s="4"/>
      <c r="G1" s="5" t="s">
        <v>81</v>
      </c>
      <c r="H1" s="5"/>
      <c r="I1" s="5"/>
      <c r="J1" s="5"/>
      <c r="K1" s="5"/>
      <c r="L1" s="5"/>
      <c r="M1" s="5"/>
      <c r="N1" s="5"/>
      <c r="O1" s="5"/>
      <c r="P1" s="5"/>
      <c r="Q1" s="5"/>
    </row>
    <row r="2" spans="1:17" ht="42.6" customHeight="1" x14ac:dyDescent="0.3">
      <c r="A2" s="4"/>
      <c r="B2" s="4"/>
      <c r="C2" s="4"/>
      <c r="D2" s="4"/>
      <c r="E2" s="4"/>
      <c r="F2" s="4"/>
      <c r="G2" s="6" t="s">
        <v>80</v>
      </c>
      <c r="H2" s="6"/>
      <c r="I2" s="7" t="s">
        <v>75</v>
      </c>
      <c r="J2" s="7"/>
      <c r="K2" s="7"/>
      <c r="L2" s="7" t="s">
        <v>76</v>
      </c>
      <c r="M2" s="7"/>
      <c r="N2" s="7"/>
      <c r="O2" s="4" t="s">
        <v>77</v>
      </c>
      <c r="P2" s="4"/>
      <c r="Q2" s="4"/>
    </row>
    <row r="3" spans="1:17" ht="27.6" x14ac:dyDescent="0.3">
      <c r="A3" s="8"/>
      <c r="B3" s="9" t="s">
        <v>4</v>
      </c>
      <c r="C3" s="9" t="s">
        <v>2</v>
      </c>
      <c r="D3" s="9" t="s">
        <v>3</v>
      </c>
      <c r="E3" s="10" t="s">
        <v>78</v>
      </c>
      <c r="F3" s="11" t="s">
        <v>79</v>
      </c>
      <c r="G3" s="12" t="s">
        <v>2</v>
      </c>
      <c r="H3" s="12" t="s">
        <v>3</v>
      </c>
      <c r="I3" s="13" t="s">
        <v>82</v>
      </c>
      <c r="J3" s="14" t="s">
        <v>5</v>
      </c>
      <c r="K3" s="14" t="s">
        <v>6</v>
      </c>
      <c r="L3" s="15" t="s">
        <v>82</v>
      </c>
      <c r="M3" s="16" t="s">
        <v>5</v>
      </c>
      <c r="N3" s="16" t="s">
        <v>6</v>
      </c>
      <c r="O3" s="17"/>
      <c r="P3" s="17" t="s">
        <v>5</v>
      </c>
      <c r="Q3" s="17" t="s">
        <v>6</v>
      </c>
    </row>
    <row r="4" spans="1:17" x14ac:dyDescent="0.3">
      <c r="A4" s="4" t="s">
        <v>9</v>
      </c>
      <c r="B4" s="4" t="s">
        <v>60</v>
      </c>
      <c r="C4" s="4">
        <v>37</v>
      </c>
      <c r="D4" s="4">
        <v>-3</v>
      </c>
      <c r="E4" s="4">
        <v>4000</v>
      </c>
      <c r="F4" s="4">
        <v>1000</v>
      </c>
      <c r="G4" s="18">
        <v>37.083193576150002</v>
      </c>
      <c r="H4" s="19">
        <v>-3.0834725698500298</v>
      </c>
      <c r="I4" s="20">
        <v>4000</v>
      </c>
      <c r="J4" s="21">
        <v>1.0551258825649601</v>
      </c>
      <c r="K4" s="21">
        <v>-2.2759758758522</v>
      </c>
      <c r="L4" s="22">
        <v>1000</v>
      </c>
      <c r="M4" s="23">
        <v>1.1719938643729899</v>
      </c>
      <c r="N4" s="23">
        <v>-2.3015866966963601</v>
      </c>
      <c r="O4" s="24" t="s">
        <v>67</v>
      </c>
      <c r="P4" s="25">
        <v>1.5227601526554</v>
      </c>
      <c r="Q4" s="25">
        <v>-1.4611627479067999</v>
      </c>
    </row>
    <row r="5" spans="1:17" x14ac:dyDescent="0.3">
      <c r="A5" s="4"/>
      <c r="B5" s="4"/>
      <c r="C5" s="4"/>
      <c r="D5" s="4"/>
      <c r="E5" s="4"/>
      <c r="F5" s="4"/>
      <c r="G5" s="19">
        <v>37.916526906149997</v>
      </c>
      <c r="H5" s="19">
        <v>-3.0834725698500298</v>
      </c>
      <c r="I5" s="20"/>
      <c r="J5" s="21">
        <v>1.16127092988214</v>
      </c>
      <c r="K5" s="21">
        <v>-2.6527891139972599</v>
      </c>
      <c r="L5" s="22"/>
      <c r="M5" s="23">
        <v>1.19955759577329</v>
      </c>
      <c r="N5" s="23">
        <v>-2.6583540258849401</v>
      </c>
      <c r="O5" s="24"/>
      <c r="P5" s="25">
        <v>0.88844189007875096</v>
      </c>
      <c r="Q5" s="25">
        <v>-2.55142312752176</v>
      </c>
    </row>
    <row r="6" spans="1:17" x14ac:dyDescent="0.3">
      <c r="A6" s="4"/>
      <c r="B6" s="4"/>
      <c r="C6" s="4"/>
      <c r="D6" s="4"/>
      <c r="E6" s="4"/>
      <c r="F6" s="4"/>
      <c r="G6" s="19">
        <v>37.083193576150002</v>
      </c>
      <c r="H6" s="19">
        <v>-3.9168058998500301</v>
      </c>
      <c r="I6" s="20"/>
      <c r="J6" s="21">
        <v>1.12595170706696</v>
      </c>
      <c r="K6" s="21">
        <v>-2.57805703026647</v>
      </c>
      <c r="L6" s="22"/>
      <c r="M6" s="23">
        <v>1.1807555630778299</v>
      </c>
      <c r="N6" s="23">
        <v>-2.6404206442252298</v>
      </c>
      <c r="O6" s="24"/>
      <c r="P6" s="25">
        <v>0.70660378073350205</v>
      </c>
      <c r="Q6" s="25">
        <v>-2.7217206771892499</v>
      </c>
    </row>
    <row r="7" spans="1:17" x14ac:dyDescent="0.3">
      <c r="A7" s="4"/>
      <c r="B7" s="4"/>
      <c r="C7" s="4"/>
      <c r="D7" s="4"/>
      <c r="E7" s="4"/>
      <c r="F7" s="4"/>
      <c r="G7" s="19">
        <v>37.916526906149997</v>
      </c>
      <c r="H7" s="19">
        <v>-3.9168058998500301</v>
      </c>
      <c r="I7" s="20"/>
      <c r="J7" s="21">
        <v>1.0830371840047599</v>
      </c>
      <c r="K7" s="21">
        <v>-2.5752767493511199</v>
      </c>
      <c r="L7" s="22"/>
      <c r="M7" s="23">
        <v>1.14116346556751</v>
      </c>
      <c r="N7" s="23">
        <v>-2.6037795020587402</v>
      </c>
      <c r="O7" s="24"/>
      <c r="P7" s="25">
        <v>0.77353327029853103</v>
      </c>
      <c r="Q7" s="25">
        <v>-2.6706178282141302</v>
      </c>
    </row>
    <row r="8" spans="1:17" x14ac:dyDescent="0.3">
      <c r="A8" s="8"/>
      <c r="B8" s="8"/>
      <c r="C8" s="8"/>
      <c r="D8" s="8"/>
      <c r="E8" s="8"/>
      <c r="F8" s="8"/>
      <c r="G8" s="26" t="s">
        <v>73</v>
      </c>
      <c r="H8" s="27"/>
      <c r="I8" s="14" t="s">
        <v>68</v>
      </c>
      <c r="J8" s="28">
        <f>AVERAGE(J4:J7)</f>
        <v>1.1063464258797051</v>
      </c>
      <c r="K8" s="28">
        <f>AVERAGE(K4:K7)</f>
        <v>-2.5205246923667626</v>
      </c>
      <c r="L8" s="16" t="s">
        <v>68</v>
      </c>
      <c r="M8" s="29">
        <f>AVERAGE(M4:M7)</f>
        <v>1.173367622197905</v>
      </c>
      <c r="N8" s="29">
        <f>AVERAGE(N4:N7)</f>
        <v>-2.5510352172163175</v>
      </c>
      <c r="O8" s="30" t="s">
        <v>68</v>
      </c>
      <c r="P8" s="31">
        <f>AVERAGE(P4:P7)</f>
        <v>0.97283477344154601</v>
      </c>
      <c r="Q8" s="31">
        <f>AVERAGE(Q4:Q7)</f>
        <v>-2.3512310952079849</v>
      </c>
    </row>
    <row r="9" spans="1:17" x14ac:dyDescent="0.3">
      <c r="A9" s="32" t="s">
        <v>8</v>
      </c>
      <c r="B9" s="32" t="s">
        <v>60</v>
      </c>
      <c r="C9" s="32">
        <v>24.25</v>
      </c>
      <c r="D9" s="32">
        <v>-25.6</v>
      </c>
      <c r="E9" s="32">
        <v>1800</v>
      </c>
      <c r="F9" s="32">
        <v>520</v>
      </c>
      <c r="G9" s="33">
        <v>24.583193626149999</v>
      </c>
      <c r="H9" s="33">
        <v>-25.583472479849998</v>
      </c>
      <c r="I9" s="34">
        <v>2000</v>
      </c>
      <c r="J9" s="35">
        <v>-0.20110100356264399</v>
      </c>
      <c r="K9" s="35">
        <v>-3.0349285334200999</v>
      </c>
      <c r="L9" s="36">
        <v>1000</v>
      </c>
      <c r="M9" s="37">
        <v>-0.19375264395234901</v>
      </c>
      <c r="N9" s="37">
        <v>-3.0259813968570302</v>
      </c>
      <c r="O9" s="38" t="s">
        <v>67</v>
      </c>
      <c r="P9" s="39">
        <v>-0.35828392676462301</v>
      </c>
      <c r="Q9" s="39">
        <v>-3.0680404462585802</v>
      </c>
    </row>
    <row r="10" spans="1:17" x14ac:dyDescent="0.3">
      <c r="A10" s="4"/>
      <c r="B10" s="4"/>
      <c r="C10" s="4"/>
      <c r="D10" s="4"/>
      <c r="E10" s="4"/>
      <c r="F10" s="4"/>
      <c r="G10" s="19"/>
      <c r="H10" s="19"/>
      <c r="I10" s="40"/>
      <c r="J10" s="21"/>
      <c r="K10" s="21"/>
      <c r="L10" s="41" t="s">
        <v>67</v>
      </c>
      <c r="M10" s="23">
        <v>-0.35828392676462301</v>
      </c>
      <c r="N10" s="23">
        <v>-3.0680404462585802</v>
      </c>
      <c r="O10" s="42"/>
      <c r="P10" s="25"/>
      <c r="Q10" s="25"/>
    </row>
    <row r="11" spans="1:17" x14ac:dyDescent="0.3">
      <c r="A11" s="8"/>
      <c r="B11" s="8"/>
      <c r="C11" s="8"/>
      <c r="D11" s="8"/>
      <c r="E11" s="8"/>
      <c r="F11" s="8"/>
      <c r="G11" s="27"/>
      <c r="H11" s="27"/>
      <c r="I11" s="14"/>
      <c r="J11" s="28"/>
      <c r="K11" s="28"/>
      <c r="L11" s="16" t="s">
        <v>68</v>
      </c>
      <c r="M11" s="29">
        <f>AVERAGE(M9:M10)</f>
        <v>-0.27601828535848599</v>
      </c>
      <c r="N11" s="29">
        <f>AVERAGE(N9:N10)</f>
        <v>-3.0470109215578054</v>
      </c>
      <c r="O11" s="30"/>
      <c r="P11" s="31"/>
      <c r="Q11" s="31"/>
    </row>
    <row r="12" spans="1:17" x14ac:dyDescent="0.3">
      <c r="A12" s="32" t="s">
        <v>11</v>
      </c>
      <c r="B12" s="32" t="s">
        <v>60</v>
      </c>
      <c r="C12" s="32">
        <v>17</v>
      </c>
      <c r="D12" s="32">
        <v>4</v>
      </c>
      <c r="E12" s="32">
        <v>4500</v>
      </c>
      <c r="F12" s="32">
        <v>1000</v>
      </c>
      <c r="G12" s="33">
        <v>17.083193656150002</v>
      </c>
      <c r="H12" s="33">
        <v>4.4165274001499704</v>
      </c>
      <c r="I12" s="43">
        <v>5000</v>
      </c>
      <c r="J12" s="35">
        <v>2.4030949557324801</v>
      </c>
      <c r="K12" s="35">
        <v>-1.5019098091935099</v>
      </c>
      <c r="L12" s="44">
        <v>1000</v>
      </c>
      <c r="M12" s="37">
        <v>2.5900270642751999</v>
      </c>
      <c r="N12" s="37">
        <v>-1.3340449757724699</v>
      </c>
      <c r="O12" s="45" t="s">
        <v>67</v>
      </c>
      <c r="P12" s="46">
        <v>2.26694832647732</v>
      </c>
      <c r="Q12" s="46">
        <v>-1.5070122956944101</v>
      </c>
    </row>
    <row r="13" spans="1:17" x14ac:dyDescent="0.3">
      <c r="A13" s="4"/>
      <c r="B13" s="4"/>
      <c r="C13" s="4"/>
      <c r="D13" s="4"/>
      <c r="E13" s="4"/>
      <c r="F13" s="4"/>
      <c r="G13" s="19">
        <v>17.91652698615</v>
      </c>
      <c r="H13" s="19">
        <v>4.4165274001499704</v>
      </c>
      <c r="I13" s="20"/>
      <c r="J13" s="21">
        <v>2.4243218067888299</v>
      </c>
      <c r="K13" s="21">
        <v>-1.5897082833854199</v>
      </c>
      <c r="L13" s="22"/>
      <c r="M13" s="23">
        <v>2.6049438771415399</v>
      </c>
      <c r="N13" s="23">
        <v>-1.4211577976557801</v>
      </c>
      <c r="O13" s="24"/>
      <c r="P13" s="25">
        <v>2.3007243126069001</v>
      </c>
      <c r="Q13" s="25">
        <v>-1.65656674449845</v>
      </c>
    </row>
    <row r="14" spans="1:17" x14ac:dyDescent="0.3">
      <c r="A14" s="4"/>
      <c r="B14" s="4"/>
      <c r="C14" s="4"/>
      <c r="D14" s="4"/>
      <c r="E14" s="4"/>
      <c r="F14" s="4"/>
      <c r="G14" s="19"/>
      <c r="H14" s="19"/>
      <c r="I14" s="20">
        <v>4000</v>
      </c>
      <c r="J14" s="21">
        <v>2.4414954383230101</v>
      </c>
      <c r="K14" s="21">
        <v>-1.46800756488969</v>
      </c>
      <c r="L14" s="47"/>
      <c r="M14" s="48"/>
      <c r="N14" s="48"/>
      <c r="O14" s="42"/>
      <c r="P14" s="25"/>
      <c r="Q14" s="25"/>
    </row>
    <row r="15" spans="1:17" x14ac:dyDescent="0.3">
      <c r="A15" s="4"/>
      <c r="B15" s="4"/>
      <c r="C15" s="4"/>
      <c r="D15" s="4"/>
      <c r="E15" s="4"/>
      <c r="F15" s="4"/>
      <c r="G15" s="19"/>
      <c r="H15" s="19"/>
      <c r="I15" s="20"/>
      <c r="J15" s="21">
        <v>2.5323561727091302</v>
      </c>
      <c r="K15" s="21">
        <v>-1.4652319046153499</v>
      </c>
      <c r="L15" s="47"/>
      <c r="M15" s="23"/>
      <c r="N15" s="23"/>
      <c r="O15" s="42"/>
      <c r="P15" s="25"/>
      <c r="Q15" s="25"/>
    </row>
    <row r="16" spans="1:17" x14ac:dyDescent="0.3">
      <c r="A16" s="8"/>
      <c r="B16" s="8"/>
      <c r="C16" s="8"/>
      <c r="D16" s="8"/>
      <c r="E16" s="8"/>
      <c r="F16" s="8"/>
      <c r="G16" s="26" t="s">
        <v>69</v>
      </c>
      <c r="H16" s="27"/>
      <c r="I16" s="14" t="s">
        <v>68</v>
      </c>
      <c r="J16" s="28">
        <f>AVERAGE(J12:J15)</f>
        <v>2.4503170933883625</v>
      </c>
      <c r="K16" s="28">
        <f>AVERAGE(K12:K15)</f>
        <v>-1.5062143905209924</v>
      </c>
      <c r="L16" s="16" t="s">
        <v>68</v>
      </c>
      <c r="M16" s="29">
        <f>AVERAGE(M12:M13)</f>
        <v>2.5974854707083699</v>
      </c>
      <c r="N16" s="29">
        <f>AVERAGE(N12:N13)</f>
        <v>-1.377601386714125</v>
      </c>
      <c r="O16" s="17" t="s">
        <v>68</v>
      </c>
      <c r="P16" s="31">
        <f>AVERAGE(P12:P13)</f>
        <v>2.2838363195421101</v>
      </c>
      <c r="Q16" s="31">
        <f>AVERAGE(Q12:Q13)</f>
        <v>-1.58178952009643</v>
      </c>
    </row>
    <row r="17" spans="1:17" x14ac:dyDescent="0.3">
      <c r="A17" s="32" t="s">
        <v>13</v>
      </c>
      <c r="B17" s="32" t="s">
        <v>60</v>
      </c>
      <c r="C17" s="32">
        <v>-12</v>
      </c>
      <c r="D17" s="32">
        <v>12</v>
      </c>
      <c r="E17" s="32">
        <v>4500</v>
      </c>
      <c r="F17" s="32">
        <v>1000</v>
      </c>
      <c r="G17" s="33">
        <v>-12.916806223849999</v>
      </c>
      <c r="H17" s="33">
        <v>12.74986070015</v>
      </c>
      <c r="I17" s="43">
        <v>5000</v>
      </c>
      <c r="J17" s="35">
        <v>2.0945653034657101</v>
      </c>
      <c r="K17" s="35">
        <v>-3.8440842112514999</v>
      </c>
      <c r="L17" s="44">
        <v>1000</v>
      </c>
      <c r="M17" s="37">
        <v>2.6557384216864302</v>
      </c>
      <c r="N17" s="37">
        <v>-3.14490059559895</v>
      </c>
      <c r="O17" s="45" t="s">
        <v>67</v>
      </c>
      <c r="P17" s="46">
        <v>2.0173708031449702</v>
      </c>
      <c r="Q17" s="46">
        <v>-3.3604714909923499</v>
      </c>
    </row>
    <row r="18" spans="1:17" x14ac:dyDescent="0.3">
      <c r="A18" s="4"/>
      <c r="B18" s="4"/>
      <c r="C18" s="4"/>
      <c r="D18" s="4"/>
      <c r="E18" s="4"/>
      <c r="F18" s="4"/>
      <c r="G18" s="19">
        <v>-12.083472893850001</v>
      </c>
      <c r="H18" s="19">
        <v>12.74986070015</v>
      </c>
      <c r="I18" s="20"/>
      <c r="J18" s="21">
        <v>2.00808866416914</v>
      </c>
      <c r="K18" s="21">
        <v>-3.87167318776523</v>
      </c>
      <c r="L18" s="22"/>
      <c r="M18" s="23">
        <v>2.3947652341261199</v>
      </c>
      <c r="N18" s="23">
        <v>-3.4291643942811798</v>
      </c>
      <c r="O18" s="24"/>
      <c r="P18" s="25">
        <v>1.85277334390144</v>
      </c>
      <c r="Q18" s="25">
        <v>-3.5470770144231598</v>
      </c>
    </row>
    <row r="19" spans="1:17" x14ac:dyDescent="0.3">
      <c r="A19" s="4"/>
      <c r="B19" s="4"/>
      <c r="C19" s="4"/>
      <c r="D19" s="4"/>
      <c r="E19" s="4"/>
      <c r="F19" s="4"/>
      <c r="G19" s="19"/>
      <c r="H19" s="19"/>
      <c r="I19" s="20">
        <v>4000</v>
      </c>
      <c r="J19" s="21">
        <v>2.24857054698523</v>
      </c>
      <c r="K19" s="21">
        <v>-3.66179796249404</v>
      </c>
      <c r="L19" s="47"/>
      <c r="M19" s="48"/>
      <c r="N19" s="48"/>
      <c r="O19" s="42"/>
      <c r="P19" s="25"/>
      <c r="Q19" s="25"/>
    </row>
    <row r="20" spans="1:17" x14ac:dyDescent="0.3">
      <c r="A20" s="4"/>
      <c r="B20" s="4"/>
      <c r="C20" s="4"/>
      <c r="D20" s="4"/>
      <c r="E20" s="4"/>
      <c r="F20" s="4"/>
      <c r="G20" s="19"/>
      <c r="H20" s="19"/>
      <c r="I20" s="20"/>
      <c r="J20" s="21">
        <v>2.07054548078455</v>
      </c>
      <c r="K20" s="21">
        <v>-3.8272526226964101</v>
      </c>
      <c r="L20" s="47"/>
      <c r="M20" s="48"/>
      <c r="N20" s="48"/>
      <c r="O20" s="42"/>
      <c r="P20" s="25"/>
      <c r="Q20" s="25"/>
    </row>
    <row r="21" spans="1:17" x14ac:dyDescent="0.3">
      <c r="A21" s="8"/>
      <c r="B21" s="8"/>
      <c r="C21" s="8"/>
      <c r="D21" s="8"/>
      <c r="E21" s="8"/>
      <c r="F21" s="8"/>
      <c r="G21" s="49" t="s">
        <v>70</v>
      </c>
      <c r="H21" s="27"/>
      <c r="I21" s="14" t="s">
        <v>68</v>
      </c>
      <c r="J21" s="28">
        <f>AVERAGE(J17:J20)</f>
        <v>2.1054424988511578</v>
      </c>
      <c r="K21" s="28">
        <f>AVERAGE(K17:K20)</f>
        <v>-3.8012019960517947</v>
      </c>
      <c r="L21" s="16" t="s">
        <v>68</v>
      </c>
      <c r="M21" s="50">
        <f>AVERAGE(M17:M18)</f>
        <v>2.525251827906275</v>
      </c>
      <c r="N21" s="50">
        <f>AVERAGE(N17:N18)</f>
        <v>-3.2870324949400649</v>
      </c>
      <c r="O21" s="17" t="s">
        <v>68</v>
      </c>
      <c r="P21" s="31">
        <f>AVERAGE(P17:P18)</f>
        <v>1.9350720735232052</v>
      </c>
      <c r="Q21" s="31">
        <f>AVERAGE(Q17:Q18)</f>
        <v>-3.4537742527077548</v>
      </c>
    </row>
    <row r="22" spans="1:17" x14ac:dyDescent="0.3">
      <c r="A22" s="32" t="s">
        <v>10</v>
      </c>
      <c r="B22" s="32" t="s">
        <v>60</v>
      </c>
      <c r="C22" s="32">
        <v>29</v>
      </c>
      <c r="D22" s="32">
        <v>1</v>
      </c>
      <c r="E22" s="32">
        <v>4000</v>
      </c>
      <c r="F22" s="32">
        <v>520</v>
      </c>
      <c r="G22" s="33">
        <v>29.583193606150001</v>
      </c>
      <c r="H22" s="33">
        <v>1.9165274101499701</v>
      </c>
      <c r="I22" s="43">
        <v>4000</v>
      </c>
      <c r="J22" s="35">
        <v>2.4629104826377199</v>
      </c>
      <c r="K22" s="35">
        <v>-0.50883503753206105</v>
      </c>
      <c r="L22" s="44">
        <v>1000</v>
      </c>
      <c r="M22" s="37">
        <v>2.4903727042514099</v>
      </c>
      <c r="N22" s="37">
        <v>-0.38469271063445698</v>
      </c>
      <c r="O22" s="45" t="s">
        <v>67</v>
      </c>
      <c r="P22" s="46">
        <v>2.0817059912709901</v>
      </c>
      <c r="Q22" s="46">
        <v>-0.46795129270729502</v>
      </c>
    </row>
    <row r="23" spans="1:17" x14ac:dyDescent="0.3">
      <c r="A23" s="4"/>
      <c r="B23" s="4"/>
      <c r="C23" s="4"/>
      <c r="D23" s="4"/>
      <c r="E23" s="4"/>
      <c r="F23" s="4"/>
      <c r="G23" s="19">
        <v>29.583193606150001</v>
      </c>
      <c r="H23" s="19">
        <v>1.08319408014997</v>
      </c>
      <c r="I23" s="20"/>
      <c r="J23" s="21">
        <v>2.3691136009904099</v>
      </c>
      <c r="K23" s="21">
        <v>-0.70485276995719803</v>
      </c>
      <c r="L23" s="22"/>
      <c r="M23" s="23">
        <v>2.40248945097705</v>
      </c>
      <c r="N23" s="23">
        <v>-0.60974051578594402</v>
      </c>
      <c r="O23" s="24"/>
      <c r="P23" s="25">
        <v>2.3122570785772099</v>
      </c>
      <c r="Q23" s="25">
        <v>-0.39510448953007898</v>
      </c>
    </row>
    <row r="24" spans="1:17" x14ac:dyDescent="0.3">
      <c r="A24" s="4"/>
      <c r="B24" s="4"/>
      <c r="C24" s="4"/>
      <c r="D24" s="4"/>
      <c r="E24" s="4"/>
      <c r="F24" s="4"/>
      <c r="G24" s="19"/>
      <c r="H24" s="19"/>
      <c r="I24" s="40"/>
      <c r="J24" s="51"/>
      <c r="K24" s="51"/>
      <c r="L24" s="22" t="s">
        <v>67</v>
      </c>
      <c r="M24" s="23">
        <v>2.0817059912709901</v>
      </c>
      <c r="N24" s="23">
        <v>-0.46795129270729502</v>
      </c>
      <c r="O24" s="42"/>
      <c r="P24" s="25"/>
      <c r="Q24" s="25"/>
    </row>
    <row r="25" spans="1:17" x14ac:dyDescent="0.3">
      <c r="A25" s="4"/>
      <c r="B25" s="4"/>
      <c r="C25" s="4"/>
      <c r="D25" s="4"/>
      <c r="E25" s="4"/>
      <c r="F25" s="4"/>
      <c r="G25" s="19"/>
      <c r="H25" s="19"/>
      <c r="I25" s="40"/>
      <c r="J25" s="21"/>
      <c r="K25" s="21"/>
      <c r="L25" s="22"/>
      <c r="M25" s="23">
        <v>2.3122570785772099</v>
      </c>
      <c r="N25" s="23">
        <v>-0.39510448953007898</v>
      </c>
      <c r="O25" s="42"/>
      <c r="P25" s="25"/>
      <c r="Q25" s="25"/>
    </row>
    <row r="26" spans="1:17" x14ac:dyDescent="0.3">
      <c r="A26" s="8"/>
      <c r="B26" s="8"/>
      <c r="C26" s="8"/>
      <c r="D26" s="8"/>
      <c r="E26" s="8"/>
      <c r="F26" s="8"/>
      <c r="G26" s="26" t="s">
        <v>71</v>
      </c>
      <c r="H26" s="27"/>
      <c r="I26" s="14" t="s">
        <v>68</v>
      </c>
      <c r="J26" s="28">
        <f>AVERAGE(J22:J23)</f>
        <v>2.4160120418140649</v>
      </c>
      <c r="K26" s="28">
        <f>AVERAGE(K22:K23)</f>
        <v>-0.6068439037446296</v>
      </c>
      <c r="L26" s="16" t="s">
        <v>68</v>
      </c>
      <c r="M26" s="29">
        <f>AVERAGE(M22:M25)</f>
        <v>2.321706306269165</v>
      </c>
      <c r="N26" s="29">
        <f>AVERAGE(N22:N25)</f>
        <v>-0.46437225216444378</v>
      </c>
      <c r="O26" s="30" t="s">
        <v>68</v>
      </c>
      <c r="P26" s="31">
        <f>AVERAGE(P22:P23)</f>
        <v>2.1969815349240998</v>
      </c>
      <c r="Q26" s="31">
        <f>AVERAGE(Q22:Q23)</f>
        <v>-0.431527891118687</v>
      </c>
    </row>
    <row r="27" spans="1:17" x14ac:dyDescent="0.3">
      <c r="A27" s="32" t="s">
        <v>14</v>
      </c>
      <c r="B27" s="32" t="s">
        <v>60</v>
      </c>
      <c r="C27" s="32">
        <v>3</v>
      </c>
      <c r="D27" s="32">
        <v>32</v>
      </c>
      <c r="E27" s="32">
        <v>7400</v>
      </c>
      <c r="F27" s="32">
        <v>2000</v>
      </c>
      <c r="G27" s="19">
        <v>3.74986037615</v>
      </c>
      <c r="H27" s="19">
        <v>32.749860620150002</v>
      </c>
      <c r="I27" s="51">
        <v>8000</v>
      </c>
      <c r="J27" s="21">
        <v>-0.69993008039490501</v>
      </c>
      <c r="K27" s="21">
        <v>-3.6573719858397702</v>
      </c>
      <c r="L27" s="52">
        <v>2000</v>
      </c>
      <c r="M27" s="48">
        <v>-0.49814524947946298</v>
      </c>
      <c r="N27" s="48">
        <v>-3.5273319093405902</v>
      </c>
      <c r="O27" s="42" t="s">
        <v>67</v>
      </c>
      <c r="P27" s="25">
        <v>-0.55946931958436497</v>
      </c>
      <c r="Q27" s="25">
        <v>-3.5049090535643699</v>
      </c>
    </row>
    <row r="28" spans="1:17" x14ac:dyDescent="0.3">
      <c r="A28" s="4"/>
      <c r="B28" s="4"/>
      <c r="C28" s="4"/>
      <c r="D28" s="4"/>
      <c r="E28" s="4"/>
      <c r="F28" s="4"/>
      <c r="G28" s="19"/>
      <c r="H28" s="19"/>
      <c r="I28" s="51">
        <v>7000</v>
      </c>
      <c r="J28" s="21">
        <v>-0.68016371948493004</v>
      </c>
      <c r="K28" s="21">
        <v>-3.5817234895016301</v>
      </c>
      <c r="L28" s="47"/>
      <c r="M28" s="48"/>
      <c r="N28" s="48"/>
      <c r="O28" s="42"/>
      <c r="P28" s="25"/>
      <c r="Q28" s="25"/>
    </row>
    <row r="29" spans="1:17" x14ac:dyDescent="0.3">
      <c r="A29" s="8"/>
      <c r="B29" s="8"/>
      <c r="C29" s="8"/>
      <c r="D29" s="8"/>
      <c r="E29" s="8"/>
      <c r="F29" s="8"/>
      <c r="G29" s="27"/>
      <c r="H29" s="27"/>
      <c r="I29" s="53" t="s">
        <v>68</v>
      </c>
      <c r="J29" s="28">
        <f>AVERAGE(J27:J28)</f>
        <v>-0.69004689993991752</v>
      </c>
      <c r="K29" s="28">
        <f>AVERAGE(K27:K28)</f>
        <v>-3.6195477376707004</v>
      </c>
      <c r="L29" s="16"/>
      <c r="M29" s="50"/>
      <c r="N29" s="50"/>
      <c r="O29" s="30"/>
      <c r="P29" s="31"/>
      <c r="Q29" s="31"/>
    </row>
    <row r="30" spans="1:17" x14ac:dyDescent="0.3">
      <c r="A30" s="54" t="s">
        <v>7</v>
      </c>
      <c r="B30" s="54" t="s">
        <v>60</v>
      </c>
      <c r="C30" s="54">
        <v>20</v>
      </c>
      <c r="D30" s="54">
        <v>-21</v>
      </c>
      <c r="E30" s="54">
        <v>1800</v>
      </c>
      <c r="F30" s="54">
        <v>1000</v>
      </c>
      <c r="G30" s="55">
        <v>20.416526976149999</v>
      </c>
      <c r="H30" s="55">
        <v>-21.416805829849999</v>
      </c>
      <c r="I30" s="56">
        <v>2000</v>
      </c>
      <c r="J30" s="57">
        <v>-7.5468454698791695E-2</v>
      </c>
      <c r="K30" s="57">
        <v>-3.35200688303622</v>
      </c>
      <c r="L30" s="58">
        <v>1000</v>
      </c>
      <c r="M30" s="59">
        <v>-2.15723808368763E-2</v>
      </c>
      <c r="N30" s="59">
        <v>-3.3314061962677699</v>
      </c>
      <c r="O30" s="60" t="s">
        <v>67</v>
      </c>
      <c r="P30" s="61">
        <v>-0.194987477067186</v>
      </c>
      <c r="Q30" s="61">
        <v>-3.47300561554191</v>
      </c>
    </row>
    <row r="31" spans="1:17" x14ac:dyDescent="0.3">
      <c r="A31" s="32" t="s">
        <v>12</v>
      </c>
      <c r="B31" s="32" t="s">
        <v>60</v>
      </c>
      <c r="C31" s="32">
        <v>5</v>
      </c>
      <c r="D31" s="32">
        <v>8</v>
      </c>
      <c r="E31" s="32">
        <v>4500</v>
      </c>
      <c r="F31" s="32">
        <v>2000</v>
      </c>
      <c r="G31" s="19">
        <v>5.4165270361499998</v>
      </c>
      <c r="H31" s="19">
        <v>8.5831940501499702</v>
      </c>
      <c r="I31" s="51">
        <v>5000</v>
      </c>
      <c r="J31" s="21">
        <v>2.0325618817196101</v>
      </c>
      <c r="K31" s="21">
        <v>-2.67155234372632</v>
      </c>
      <c r="L31" s="52">
        <v>2000</v>
      </c>
      <c r="M31" s="48">
        <v>2.1491264040238902</v>
      </c>
      <c r="N31" s="48">
        <v>-2.5713691978540698</v>
      </c>
      <c r="O31" s="42" t="s">
        <v>67</v>
      </c>
      <c r="P31" s="25">
        <v>2.1698050210341102</v>
      </c>
      <c r="Q31" s="25">
        <v>-2.4818932163173901</v>
      </c>
    </row>
    <row r="32" spans="1:17" x14ac:dyDescent="0.3">
      <c r="A32" s="4"/>
      <c r="B32" s="4"/>
      <c r="C32" s="4"/>
      <c r="D32" s="4"/>
      <c r="E32" s="4"/>
      <c r="F32" s="4"/>
      <c r="G32" s="19"/>
      <c r="H32" s="19"/>
      <c r="I32" s="51">
        <v>4000</v>
      </c>
      <c r="J32" s="21">
        <v>2.0539619024890099</v>
      </c>
      <c r="K32" s="21">
        <v>-2.6073259237251101</v>
      </c>
      <c r="L32" s="52"/>
      <c r="M32" s="48"/>
      <c r="N32" s="48"/>
      <c r="O32" s="42"/>
      <c r="P32" s="25"/>
      <c r="Q32" s="25"/>
    </row>
    <row r="33" spans="1:17" x14ac:dyDescent="0.3">
      <c r="A33" s="8"/>
      <c r="B33" s="8"/>
      <c r="C33" s="8"/>
      <c r="D33" s="8"/>
      <c r="E33" s="8"/>
      <c r="F33" s="8"/>
      <c r="G33" s="27"/>
      <c r="H33" s="27"/>
      <c r="I33" s="53" t="s">
        <v>68</v>
      </c>
      <c r="J33" s="28">
        <f>AVERAGE(J31:J32)</f>
        <v>2.0432618921043098</v>
      </c>
      <c r="K33" s="28">
        <f>AVERAGE(K31:K32)</f>
        <v>-2.6394391337257153</v>
      </c>
      <c r="L33" s="16"/>
      <c r="M33" s="50"/>
      <c r="N33" s="50"/>
      <c r="O33" s="30"/>
      <c r="P33" s="31"/>
      <c r="Q33" s="31"/>
    </row>
    <row r="34" spans="1:17" x14ac:dyDescent="0.3">
      <c r="A34" s="54" t="s">
        <v>25</v>
      </c>
      <c r="B34" s="54" t="s">
        <v>63</v>
      </c>
      <c r="C34" s="54">
        <v>66.5</v>
      </c>
      <c r="D34" s="54">
        <v>30.5</v>
      </c>
      <c r="E34" s="54">
        <v>9000</v>
      </c>
      <c r="F34" s="54">
        <v>6000</v>
      </c>
      <c r="G34" s="55">
        <v>66.249860126149997</v>
      </c>
      <c r="H34" s="55">
        <v>30.24986063015</v>
      </c>
      <c r="I34" s="56">
        <v>9000</v>
      </c>
      <c r="J34" s="57">
        <v>-0.85057345246106797</v>
      </c>
      <c r="K34" s="57">
        <v>-3.7012936072586302</v>
      </c>
      <c r="L34" s="58">
        <v>6000</v>
      </c>
      <c r="M34" s="59">
        <v>-0.55004190012544596</v>
      </c>
      <c r="N34" s="59">
        <v>-3.5248261091806898</v>
      </c>
      <c r="O34" s="60" t="s">
        <v>67</v>
      </c>
      <c r="P34" s="61">
        <v>-0.89800622599487501</v>
      </c>
      <c r="Q34" s="61">
        <v>-3.42429253544028</v>
      </c>
    </row>
    <row r="35" spans="1:17" x14ac:dyDescent="0.3">
      <c r="A35" s="54" t="s">
        <v>26</v>
      </c>
      <c r="B35" s="54" t="s">
        <v>63</v>
      </c>
      <c r="C35" s="54">
        <v>66.5</v>
      </c>
      <c r="D35" s="54">
        <v>30.5</v>
      </c>
      <c r="E35" s="54">
        <v>9000</v>
      </c>
      <c r="F35" s="54">
        <v>6000</v>
      </c>
      <c r="G35" s="55">
        <v>66.249860126149997</v>
      </c>
      <c r="H35" s="55">
        <v>30.24986063015</v>
      </c>
      <c r="I35" s="56">
        <v>9000</v>
      </c>
      <c r="J35" s="57">
        <v>-0.85057345246106797</v>
      </c>
      <c r="K35" s="57">
        <v>-3.7012936072586302</v>
      </c>
      <c r="L35" s="58">
        <v>6000</v>
      </c>
      <c r="M35" s="59">
        <v>-0.55004190012544596</v>
      </c>
      <c r="N35" s="59">
        <v>-3.5248261091806898</v>
      </c>
      <c r="O35" s="30" t="s">
        <v>67</v>
      </c>
      <c r="P35" s="61">
        <v>-0.89800622599487501</v>
      </c>
      <c r="Q35" s="61">
        <v>-3.42429253544028</v>
      </c>
    </row>
    <row r="36" spans="1:17" x14ac:dyDescent="0.3">
      <c r="A36" s="32" t="s">
        <v>32</v>
      </c>
      <c r="B36" s="32" t="s">
        <v>63</v>
      </c>
      <c r="C36" s="32">
        <v>74</v>
      </c>
      <c r="D36" s="32">
        <v>36.5</v>
      </c>
      <c r="E36" s="32">
        <v>8000</v>
      </c>
      <c r="F36" s="32">
        <v>3000</v>
      </c>
      <c r="G36" s="19">
        <v>74.583193426150004</v>
      </c>
      <c r="H36" s="19">
        <v>36.916527270149999</v>
      </c>
      <c r="I36" s="43">
        <v>8000</v>
      </c>
      <c r="J36" s="21">
        <v>-4.1069849622410901</v>
      </c>
      <c r="K36" s="21">
        <v>-0.52757837988671696</v>
      </c>
      <c r="L36" s="22">
        <v>3000</v>
      </c>
      <c r="M36" s="48">
        <v>-3.7496069379583798</v>
      </c>
      <c r="N36" s="48">
        <v>-0.32592609823949598</v>
      </c>
      <c r="O36" s="45" t="s">
        <v>67</v>
      </c>
      <c r="P36" s="25">
        <v>-3.7910121202751501</v>
      </c>
      <c r="Q36" s="25">
        <v>0.40405396049124598</v>
      </c>
    </row>
    <row r="37" spans="1:17" x14ac:dyDescent="0.3">
      <c r="A37" s="4"/>
      <c r="B37" s="4"/>
      <c r="C37" s="4"/>
      <c r="D37" s="4"/>
      <c r="E37" s="4"/>
      <c r="F37" s="4"/>
      <c r="G37" s="19">
        <v>74.583193426150004</v>
      </c>
      <c r="H37" s="19">
        <v>36.083193940149997</v>
      </c>
      <c r="I37" s="20"/>
      <c r="J37" s="21">
        <v>-3.4436217290626199</v>
      </c>
      <c r="K37" s="21">
        <v>-1.01902862971329</v>
      </c>
      <c r="L37" s="22"/>
      <c r="M37" s="48">
        <v>-3.12049570687567</v>
      </c>
      <c r="N37" s="48">
        <v>-0.85058296760373597</v>
      </c>
      <c r="O37" s="24"/>
      <c r="P37" s="25">
        <v>-3.0681342368409301</v>
      </c>
      <c r="Q37" s="25">
        <v>-0.27451087710829603</v>
      </c>
    </row>
    <row r="38" spans="1:17" x14ac:dyDescent="0.3">
      <c r="A38" s="4"/>
      <c r="B38" s="4"/>
      <c r="C38" s="4"/>
      <c r="D38" s="4"/>
      <c r="E38" s="4"/>
      <c r="F38" s="4"/>
      <c r="G38" s="49" t="s">
        <v>71</v>
      </c>
      <c r="H38" s="19"/>
      <c r="I38" s="51" t="s">
        <v>68</v>
      </c>
      <c r="J38" s="21">
        <f>AVERAGE(J36:J37)</f>
        <v>-3.7753033456518548</v>
      </c>
      <c r="K38" s="21">
        <f>AVERAGE(K36:K37)</f>
        <v>-0.77330350480000343</v>
      </c>
      <c r="L38" s="52" t="s">
        <v>68</v>
      </c>
      <c r="M38" s="48">
        <f>AVERAGE(M36:M37)</f>
        <v>-3.4350513224170252</v>
      </c>
      <c r="N38" s="48">
        <f>AVERAGE(N36:N37)</f>
        <v>-0.588254532921616</v>
      </c>
      <c r="O38" s="42" t="s">
        <v>68</v>
      </c>
      <c r="P38" s="31">
        <f>AVERAGE(P36:P37)</f>
        <v>-3.4295731785580399</v>
      </c>
      <c r="Q38" s="31">
        <f>AVERAGE(Q36:Q37)</f>
        <v>6.4771541691474976E-2</v>
      </c>
    </row>
    <row r="39" spans="1:17" x14ac:dyDescent="0.3">
      <c r="A39" s="32" t="s">
        <v>39</v>
      </c>
      <c r="B39" s="32" t="s">
        <v>63</v>
      </c>
      <c r="C39" s="32">
        <v>105</v>
      </c>
      <c r="D39" s="32">
        <v>12</v>
      </c>
      <c r="E39" s="32">
        <v>4500</v>
      </c>
      <c r="F39" s="32">
        <v>1000</v>
      </c>
      <c r="G39" s="33">
        <v>105.41652663615</v>
      </c>
      <c r="H39" s="33">
        <v>12.74986070015</v>
      </c>
      <c r="I39" s="62">
        <v>5000</v>
      </c>
      <c r="J39" s="35">
        <v>2.4150125526811301</v>
      </c>
      <c r="K39" s="35">
        <v>-2.5814060252048301</v>
      </c>
      <c r="L39" s="63">
        <v>1000</v>
      </c>
      <c r="M39" s="64">
        <v>2.46574457165794</v>
      </c>
      <c r="N39" s="64">
        <v>-2.6226881690436099</v>
      </c>
      <c r="O39" s="65" t="s">
        <v>67</v>
      </c>
      <c r="P39" s="25">
        <v>2.4847409932223998</v>
      </c>
      <c r="Q39" s="25">
        <v>-2.3245775556767798</v>
      </c>
    </row>
    <row r="40" spans="1:17" x14ac:dyDescent="0.3">
      <c r="A40" s="4"/>
      <c r="B40" s="4"/>
      <c r="C40" s="4"/>
      <c r="D40" s="4"/>
      <c r="E40" s="4"/>
      <c r="F40" s="4"/>
      <c r="G40" s="19"/>
      <c r="H40" s="19"/>
      <c r="I40" s="51">
        <v>4000</v>
      </c>
      <c r="J40" s="21">
        <v>2.4295383592358299</v>
      </c>
      <c r="K40" s="21">
        <v>-2.58389858562703</v>
      </c>
      <c r="L40" s="52"/>
      <c r="M40" s="48"/>
      <c r="N40" s="48"/>
      <c r="O40" s="66"/>
      <c r="P40" s="25"/>
      <c r="Q40" s="25"/>
    </row>
    <row r="41" spans="1:17" x14ac:dyDescent="0.3">
      <c r="A41" s="8"/>
      <c r="B41" s="8"/>
      <c r="C41" s="8"/>
      <c r="D41" s="8"/>
      <c r="E41" s="8"/>
      <c r="F41" s="8"/>
      <c r="G41" s="27"/>
      <c r="H41" s="27"/>
      <c r="I41" s="53" t="s">
        <v>68</v>
      </c>
      <c r="J41" s="28">
        <f>AVERAGE(J39:J40)</f>
        <v>2.4222754559584798</v>
      </c>
      <c r="K41" s="28">
        <f>AVERAGE(K39:K40)</f>
        <v>-2.5826523054159303</v>
      </c>
      <c r="L41" s="16"/>
      <c r="M41" s="50"/>
      <c r="N41" s="50"/>
      <c r="O41" s="17"/>
      <c r="P41" s="31"/>
      <c r="Q41" s="31"/>
    </row>
    <row r="42" spans="1:17" x14ac:dyDescent="0.3">
      <c r="A42" s="32" t="s">
        <v>38</v>
      </c>
      <c r="B42" s="32" t="s">
        <v>63</v>
      </c>
      <c r="C42" s="32">
        <v>100</v>
      </c>
      <c r="D42" s="32">
        <v>21</v>
      </c>
      <c r="E42" s="32">
        <v>4500</v>
      </c>
      <c r="F42" s="32">
        <v>1000</v>
      </c>
      <c r="G42" s="19">
        <v>100.41652665615</v>
      </c>
      <c r="H42" s="19">
        <v>21.91652733015</v>
      </c>
      <c r="I42" s="43">
        <v>5000</v>
      </c>
      <c r="J42" s="21">
        <v>1.4552794591540399</v>
      </c>
      <c r="K42" s="21">
        <v>-1.94942210816168</v>
      </c>
      <c r="L42" s="44">
        <v>1000</v>
      </c>
      <c r="M42" s="48">
        <v>1.6976346640307001</v>
      </c>
      <c r="N42" s="48">
        <v>-1.7355476031436801</v>
      </c>
      <c r="O42" s="45" t="s">
        <v>67</v>
      </c>
      <c r="P42" s="25">
        <v>1.50033641703947</v>
      </c>
      <c r="Q42" s="25">
        <v>-1.6718263350784499</v>
      </c>
    </row>
    <row r="43" spans="1:17" x14ac:dyDescent="0.3">
      <c r="A43" s="4"/>
      <c r="B43" s="4"/>
      <c r="C43" s="4"/>
      <c r="D43" s="4"/>
      <c r="E43" s="4"/>
      <c r="F43" s="4"/>
      <c r="G43" s="19">
        <v>100.41652665615</v>
      </c>
      <c r="H43" s="19">
        <v>21.083194000150002</v>
      </c>
      <c r="I43" s="20"/>
      <c r="J43" s="21">
        <v>1.7313303257531401</v>
      </c>
      <c r="K43" s="21">
        <v>-2.03024592950851</v>
      </c>
      <c r="L43" s="22"/>
      <c r="M43" s="48">
        <v>1.9763904959665699</v>
      </c>
      <c r="N43" s="48">
        <v>-1.85467111607228</v>
      </c>
      <c r="O43" s="24"/>
      <c r="P43" s="25">
        <v>1.9580700844155601</v>
      </c>
      <c r="Q43" s="25">
        <v>-1.64359730360058</v>
      </c>
    </row>
    <row r="44" spans="1:17" x14ac:dyDescent="0.3">
      <c r="A44" s="4"/>
      <c r="B44" s="4"/>
      <c r="C44" s="4"/>
      <c r="D44" s="4"/>
      <c r="E44" s="4"/>
      <c r="F44" s="4"/>
      <c r="G44" s="19"/>
      <c r="H44" s="19"/>
      <c r="I44" s="20">
        <v>4000</v>
      </c>
      <c r="J44" s="21">
        <v>1.61153831047422</v>
      </c>
      <c r="K44" s="21">
        <v>-1.83920651915253</v>
      </c>
      <c r="L44" s="41"/>
      <c r="M44" s="48"/>
      <c r="N44" s="48"/>
      <c r="O44" s="42"/>
      <c r="P44" s="25"/>
      <c r="Q44" s="25"/>
    </row>
    <row r="45" spans="1:17" x14ac:dyDescent="0.3">
      <c r="A45" s="4"/>
      <c r="B45" s="4"/>
      <c r="C45" s="4"/>
      <c r="D45" s="4"/>
      <c r="E45" s="4"/>
      <c r="F45" s="4"/>
      <c r="G45" s="19"/>
      <c r="H45" s="19"/>
      <c r="I45" s="20"/>
      <c r="J45" s="21">
        <v>1.85940721565404</v>
      </c>
      <c r="K45" s="21">
        <v>-1.9337012893175201</v>
      </c>
      <c r="L45" s="41"/>
      <c r="M45" s="48"/>
      <c r="N45" s="48"/>
      <c r="O45" s="42"/>
      <c r="P45" s="25"/>
      <c r="Q45" s="25"/>
    </row>
    <row r="46" spans="1:17" x14ac:dyDescent="0.3">
      <c r="A46" s="8"/>
      <c r="B46" s="8"/>
      <c r="C46" s="8"/>
      <c r="D46" s="8"/>
      <c r="E46" s="8"/>
      <c r="F46" s="8"/>
      <c r="G46" s="26" t="s">
        <v>71</v>
      </c>
      <c r="H46" s="27"/>
      <c r="I46" s="53" t="s">
        <v>68</v>
      </c>
      <c r="J46" s="28">
        <f>AVERAGE(J42:J45)</f>
        <v>1.6643888277588599</v>
      </c>
      <c r="K46" s="28">
        <f>AVERAGE(K42:K45)</f>
        <v>-1.93814396153506</v>
      </c>
      <c r="L46" s="67" t="s">
        <v>68</v>
      </c>
      <c r="M46" s="50">
        <f>AVERAGE(M42:M43)</f>
        <v>1.837012579998635</v>
      </c>
      <c r="N46" s="50">
        <f>AVERAGE(N42:N43)</f>
        <v>-1.7951093596079799</v>
      </c>
      <c r="O46" s="30" t="s">
        <v>68</v>
      </c>
      <c r="P46" s="31">
        <f>AVERAGE(P42:P43)</f>
        <v>1.729203250727515</v>
      </c>
      <c r="Q46" s="31">
        <f>AVERAGE(Q42:Q43)</f>
        <v>-1.6577118193395148</v>
      </c>
    </row>
    <row r="47" spans="1:17" x14ac:dyDescent="0.3">
      <c r="A47" s="54" t="s">
        <v>47</v>
      </c>
      <c r="B47" s="54" t="s">
        <v>63</v>
      </c>
      <c r="C47" s="54">
        <v>124</v>
      </c>
      <c r="D47" s="54">
        <v>48.5</v>
      </c>
      <c r="E47" s="54">
        <v>6000</v>
      </c>
      <c r="F47" s="54">
        <v>3000</v>
      </c>
      <c r="G47" s="55">
        <v>124.58319322615</v>
      </c>
      <c r="H47" s="55">
        <v>48.58319389015</v>
      </c>
      <c r="I47" s="56">
        <v>6000</v>
      </c>
      <c r="J47" s="57">
        <v>-2.3851031341671698</v>
      </c>
      <c r="K47" s="57">
        <v>-2.2489235569186898</v>
      </c>
      <c r="L47" s="58">
        <v>3000</v>
      </c>
      <c r="M47" s="68">
        <v>-2.4636300183915698</v>
      </c>
      <c r="N47" s="68">
        <v>-2.2122161677197898</v>
      </c>
      <c r="O47" s="60" t="s">
        <v>67</v>
      </c>
      <c r="P47" s="69">
        <v>-2.6580196344606701</v>
      </c>
      <c r="Q47" s="69">
        <v>-2.2356901374752098</v>
      </c>
    </row>
    <row r="48" spans="1:17" x14ac:dyDescent="0.3">
      <c r="A48" s="54" t="s">
        <v>41</v>
      </c>
      <c r="B48" s="54" t="s">
        <v>63</v>
      </c>
      <c r="C48" s="54">
        <v>114</v>
      </c>
      <c r="D48" s="54">
        <v>32.299999999999997</v>
      </c>
      <c r="E48" s="54">
        <v>10000</v>
      </c>
      <c r="F48" s="54">
        <v>4000</v>
      </c>
      <c r="G48" s="55">
        <v>114.58319326615</v>
      </c>
      <c r="H48" s="55">
        <v>32.749860620150002</v>
      </c>
      <c r="I48" s="56">
        <v>10000</v>
      </c>
      <c r="J48" s="57">
        <v>-0.34649245988663602</v>
      </c>
      <c r="K48" s="57">
        <v>-2.0541914922944802</v>
      </c>
      <c r="L48" s="58">
        <v>4000</v>
      </c>
      <c r="M48" s="59">
        <v>0.186558212319066</v>
      </c>
      <c r="N48" s="59">
        <v>-1.9184496818323</v>
      </c>
      <c r="O48" s="60" t="s">
        <v>67</v>
      </c>
      <c r="P48" s="61">
        <v>0.21582265093946401</v>
      </c>
      <c r="Q48" s="61">
        <v>-1.83853811201522</v>
      </c>
    </row>
    <row r="49" spans="1:17" x14ac:dyDescent="0.3">
      <c r="A49" s="54" t="s">
        <v>30</v>
      </c>
      <c r="B49" s="54" t="s">
        <v>63</v>
      </c>
      <c r="C49" s="54">
        <v>70</v>
      </c>
      <c r="D49" s="54">
        <v>33.5</v>
      </c>
      <c r="E49" s="54">
        <v>9000</v>
      </c>
      <c r="F49" s="54">
        <v>6000</v>
      </c>
      <c r="G49" s="55">
        <v>70.416526776149993</v>
      </c>
      <c r="H49" s="55">
        <v>33.583193950149997</v>
      </c>
      <c r="I49" s="56">
        <v>9000</v>
      </c>
      <c r="J49" s="57">
        <v>-0.61711093830599695</v>
      </c>
      <c r="K49" s="57">
        <v>-2.0776652323537599</v>
      </c>
      <c r="L49" s="58">
        <v>6000</v>
      </c>
      <c r="M49" s="59">
        <v>-0.28602495565309499</v>
      </c>
      <c r="N49" s="59">
        <v>-1.86429285251557</v>
      </c>
      <c r="O49" s="60" t="s">
        <v>67</v>
      </c>
      <c r="P49" s="61">
        <v>-0.139592949317801</v>
      </c>
      <c r="Q49" s="61">
        <v>-1.8605594786736499</v>
      </c>
    </row>
    <row r="50" spans="1:17" x14ac:dyDescent="0.3">
      <c r="A50" s="54" t="s">
        <v>48</v>
      </c>
      <c r="B50" s="54" t="s">
        <v>63</v>
      </c>
      <c r="C50" s="54">
        <v>133.5</v>
      </c>
      <c r="D50" s="54">
        <v>47.5</v>
      </c>
      <c r="E50" s="54">
        <v>6000</v>
      </c>
      <c r="F50" s="54">
        <v>2000</v>
      </c>
      <c r="G50" s="55">
        <v>133.74985985615001</v>
      </c>
      <c r="H50" s="55">
        <v>47.749860560149997</v>
      </c>
      <c r="I50" s="56">
        <v>6000</v>
      </c>
      <c r="J50" s="57">
        <v>-2.3184483935461402</v>
      </c>
      <c r="K50" s="57">
        <v>-1.8168993097100801</v>
      </c>
      <c r="L50" s="58">
        <v>2000</v>
      </c>
      <c r="M50" s="59">
        <v>-2.3860636018161601</v>
      </c>
      <c r="N50" s="59">
        <v>-1.6560072410520299</v>
      </c>
      <c r="O50" s="60" t="s">
        <v>67</v>
      </c>
      <c r="P50" s="25">
        <v>-2.4034227663935801</v>
      </c>
      <c r="Q50" s="25">
        <v>-1.7046193313962399</v>
      </c>
    </row>
    <row r="51" spans="1:17" x14ac:dyDescent="0.3">
      <c r="A51" s="54" t="s">
        <v>49</v>
      </c>
      <c r="B51" s="54" t="s">
        <v>63</v>
      </c>
      <c r="C51" s="54">
        <v>139</v>
      </c>
      <c r="D51" s="54">
        <v>37.5</v>
      </c>
      <c r="E51" s="54">
        <v>5000</v>
      </c>
      <c r="F51" s="54">
        <v>3000</v>
      </c>
      <c r="G51" s="55">
        <v>139.58319316615001</v>
      </c>
      <c r="H51" s="55">
        <v>37.749860600150001</v>
      </c>
      <c r="I51" s="56">
        <v>5000</v>
      </c>
      <c r="J51" s="57">
        <v>0.74298166738498606</v>
      </c>
      <c r="K51" s="57">
        <v>0.593756972983426</v>
      </c>
      <c r="L51" s="58">
        <v>3000</v>
      </c>
      <c r="M51" s="59">
        <v>0.87397614181858196</v>
      </c>
      <c r="N51" s="59">
        <v>0.66569276660858401</v>
      </c>
      <c r="O51" s="60" t="s">
        <v>67</v>
      </c>
      <c r="P51" s="61">
        <v>2.53363741437028</v>
      </c>
      <c r="Q51" s="61">
        <v>2.3870760438102199</v>
      </c>
    </row>
    <row r="52" spans="1:17" x14ac:dyDescent="0.3">
      <c r="A52" s="54" t="s">
        <v>29</v>
      </c>
      <c r="B52" s="54" t="s">
        <v>63</v>
      </c>
      <c r="C52" s="54">
        <v>71.5</v>
      </c>
      <c r="D52" s="54">
        <v>36</v>
      </c>
      <c r="E52" s="54">
        <v>8000</v>
      </c>
      <c r="F52" s="54">
        <v>4000</v>
      </c>
      <c r="G52" s="55">
        <v>71.249860106149995</v>
      </c>
      <c r="H52" s="55">
        <v>36.083193940149997</v>
      </c>
      <c r="I52" s="56">
        <v>8000</v>
      </c>
      <c r="J52" s="57">
        <v>-2.4182734180932299</v>
      </c>
      <c r="K52" s="57">
        <v>-1.0007253514296901</v>
      </c>
      <c r="L52" s="58">
        <v>4000</v>
      </c>
      <c r="M52" s="59">
        <v>-2.36350913406427</v>
      </c>
      <c r="N52" s="59">
        <v>-0.85264779247372602</v>
      </c>
      <c r="O52" s="60" t="s">
        <v>67</v>
      </c>
      <c r="P52" s="61">
        <v>-2.1232295190310499</v>
      </c>
      <c r="Q52" s="61">
        <v>0.74536461302603396</v>
      </c>
    </row>
    <row r="53" spans="1:17" x14ac:dyDescent="0.3">
      <c r="A53" s="32" t="s">
        <v>37</v>
      </c>
      <c r="B53" s="32" t="s">
        <v>63</v>
      </c>
      <c r="C53" s="32">
        <v>100</v>
      </c>
      <c r="D53" s="32">
        <v>22</v>
      </c>
      <c r="E53" s="32">
        <v>4500</v>
      </c>
      <c r="F53" s="32">
        <v>2000</v>
      </c>
      <c r="G53" s="19">
        <v>100.41652665615</v>
      </c>
      <c r="H53" s="19">
        <v>22.749860660149999</v>
      </c>
      <c r="I53" s="51">
        <v>5000</v>
      </c>
      <c r="J53" s="21">
        <v>1.4262175213202499</v>
      </c>
      <c r="K53" s="21">
        <v>-1.96326160200002</v>
      </c>
      <c r="L53" s="41">
        <v>2000</v>
      </c>
      <c r="M53" s="64">
        <v>1.6163245773532899</v>
      </c>
      <c r="N53" s="64">
        <v>-1.7795380507487799</v>
      </c>
      <c r="O53" s="42" t="s">
        <v>67</v>
      </c>
      <c r="P53" s="25">
        <v>1.3397716930085499</v>
      </c>
      <c r="Q53" s="25">
        <v>-1.8091164221907099</v>
      </c>
    </row>
    <row r="54" spans="1:17" x14ac:dyDescent="0.3">
      <c r="A54" s="4"/>
      <c r="B54" s="4"/>
      <c r="C54" s="4"/>
      <c r="D54" s="4"/>
      <c r="E54" s="4"/>
      <c r="F54" s="4"/>
      <c r="G54" s="19"/>
      <c r="H54" s="19"/>
      <c r="I54" s="51">
        <v>4000</v>
      </c>
      <c r="J54" s="21">
        <v>1.5512687712123601</v>
      </c>
      <c r="K54" s="21">
        <v>-1.86507544651768</v>
      </c>
      <c r="L54" s="41"/>
      <c r="M54" s="48"/>
      <c r="N54" s="48"/>
      <c r="O54" s="42"/>
      <c r="P54" s="25"/>
      <c r="Q54" s="25"/>
    </row>
    <row r="55" spans="1:17" x14ac:dyDescent="0.3">
      <c r="A55" s="8"/>
      <c r="B55" s="8"/>
      <c r="C55" s="8"/>
      <c r="D55" s="8"/>
      <c r="E55" s="8"/>
      <c r="F55" s="8"/>
      <c r="G55" s="27"/>
      <c r="H55" s="27"/>
      <c r="I55" s="53" t="s">
        <v>68</v>
      </c>
      <c r="J55" s="28">
        <f>AVERAGE(J53:J54)</f>
        <v>1.488743146266305</v>
      </c>
      <c r="K55" s="28">
        <f>AVERAGE(K53:K54)</f>
        <v>-1.91416852425885</v>
      </c>
      <c r="L55" s="67"/>
      <c r="M55" s="50"/>
      <c r="N55" s="50"/>
      <c r="O55" s="30"/>
      <c r="P55" s="31"/>
      <c r="Q55" s="31"/>
    </row>
    <row r="56" spans="1:17" x14ac:dyDescent="0.3">
      <c r="A56" s="32" t="s">
        <v>27</v>
      </c>
      <c r="B56" s="32" t="s">
        <v>63</v>
      </c>
      <c r="C56" s="32">
        <v>64</v>
      </c>
      <c r="D56" s="32">
        <v>26</v>
      </c>
      <c r="E56" s="32">
        <v>9000</v>
      </c>
      <c r="F56" s="32">
        <v>6000</v>
      </c>
      <c r="G56" s="70">
        <v>64.583193466149993</v>
      </c>
      <c r="H56" s="70">
        <v>26.916527310149998</v>
      </c>
      <c r="I56" s="71">
        <v>9000</v>
      </c>
      <c r="J56" s="72">
        <v>-0.68952857734203898</v>
      </c>
      <c r="K56" s="72">
        <v>-3.6022736149377099</v>
      </c>
      <c r="L56" s="44">
        <v>6000</v>
      </c>
      <c r="M56" s="48">
        <v>-0.44971366258476703</v>
      </c>
      <c r="N56" s="48">
        <v>-3.5836096782781901</v>
      </c>
      <c r="O56" s="45" t="s">
        <v>67</v>
      </c>
      <c r="P56" s="25">
        <v>-0.69386515613294297</v>
      </c>
      <c r="Q56" s="25">
        <v>-3.4108459797864801</v>
      </c>
    </row>
    <row r="57" spans="1:17" x14ac:dyDescent="0.3">
      <c r="A57" s="4"/>
      <c r="B57" s="4"/>
      <c r="C57" s="4"/>
      <c r="D57" s="4"/>
      <c r="E57" s="4"/>
      <c r="F57" s="4"/>
      <c r="G57" s="70">
        <v>64.583193466149993</v>
      </c>
      <c r="H57" s="70">
        <v>26.08319398015</v>
      </c>
      <c r="I57" s="73"/>
      <c r="J57" s="72">
        <v>-0.25852280197955702</v>
      </c>
      <c r="K57" s="72">
        <v>-3.8498782208950901</v>
      </c>
      <c r="L57" s="22"/>
      <c r="M57" s="48">
        <v>-5.4324431882199001E-2</v>
      </c>
      <c r="N57" s="48">
        <v>-3.7839385409695998</v>
      </c>
      <c r="O57" s="24"/>
      <c r="P57" s="25">
        <v>-0.26433144536627101</v>
      </c>
      <c r="Q57" s="25">
        <v>-3.64851737491131</v>
      </c>
    </row>
    <row r="58" spans="1:17" s="1" customFormat="1" x14ac:dyDescent="0.3">
      <c r="A58" s="8"/>
      <c r="B58" s="8"/>
      <c r="C58" s="8"/>
      <c r="D58" s="8"/>
      <c r="E58" s="8"/>
      <c r="F58" s="8"/>
      <c r="G58" s="26" t="s">
        <v>71</v>
      </c>
      <c r="H58" s="74"/>
      <c r="I58" s="75" t="s">
        <v>68</v>
      </c>
      <c r="J58" s="76">
        <f>AVERAGE(J56:J57)</f>
        <v>-0.474025689660798</v>
      </c>
      <c r="K58" s="76">
        <f>AVERAGE(K56:K57)</f>
        <v>-3.7260759179164</v>
      </c>
      <c r="L58" s="77" t="s">
        <v>68</v>
      </c>
      <c r="M58" s="78">
        <f>AVERAGE(M56:M57)</f>
        <v>-0.25201904723348301</v>
      </c>
      <c r="N58" s="78">
        <f>AVERAGE(N56:N57)</f>
        <v>-3.683774109623895</v>
      </c>
      <c r="O58" s="79" t="s">
        <v>68</v>
      </c>
      <c r="P58" s="80">
        <f>AVERAGE(P56:P57)</f>
        <v>-0.47909830074960702</v>
      </c>
      <c r="Q58" s="80">
        <f>AVERAGE(Q56:Q57)</f>
        <v>-3.5296816773488953</v>
      </c>
    </row>
    <row r="59" spans="1:17" x14ac:dyDescent="0.3">
      <c r="A59" s="54" t="s">
        <v>42</v>
      </c>
      <c r="B59" s="54" t="s">
        <v>63</v>
      </c>
      <c r="C59" s="54">
        <v>109</v>
      </c>
      <c r="D59" s="54">
        <v>28</v>
      </c>
      <c r="E59" s="54">
        <v>10000</v>
      </c>
      <c r="F59" s="54">
        <v>4000</v>
      </c>
      <c r="G59" s="55">
        <v>109.58319328615001</v>
      </c>
      <c r="H59" s="55">
        <v>28.583193970149999</v>
      </c>
      <c r="I59" s="56">
        <v>10000</v>
      </c>
      <c r="J59" s="57">
        <v>0.299230770070193</v>
      </c>
      <c r="K59" s="57">
        <v>-1.53399096972448</v>
      </c>
      <c r="L59" s="58">
        <v>4000</v>
      </c>
      <c r="M59" s="48">
        <v>0.76527796637193202</v>
      </c>
      <c r="N59" s="48">
        <v>-1.2993060475648399</v>
      </c>
      <c r="O59" s="60" t="s">
        <v>67</v>
      </c>
      <c r="P59" s="25">
        <v>0.90141228581118704</v>
      </c>
      <c r="Q59" s="25">
        <v>-1.02054177915947</v>
      </c>
    </row>
    <row r="60" spans="1:17" x14ac:dyDescent="0.3">
      <c r="A60" s="54" t="s">
        <v>51</v>
      </c>
      <c r="B60" s="54" t="s">
        <v>63</v>
      </c>
      <c r="C60" s="54">
        <v>119</v>
      </c>
      <c r="D60" s="54">
        <v>48.5</v>
      </c>
      <c r="E60" s="54">
        <v>6000</v>
      </c>
      <c r="F60" s="54">
        <v>2000</v>
      </c>
      <c r="G60" s="55">
        <v>119.58319324615</v>
      </c>
      <c r="H60" s="55">
        <v>48.58319389015</v>
      </c>
      <c r="I60" s="56">
        <v>6000</v>
      </c>
      <c r="J60" s="57">
        <v>-2.9396264064238</v>
      </c>
      <c r="K60" s="57">
        <v>-2.2426126747806001</v>
      </c>
      <c r="L60" s="58">
        <v>2000</v>
      </c>
      <c r="M60" s="59">
        <v>-3.0451269136678198</v>
      </c>
      <c r="N60" s="59">
        <v>-2.0531596193733099</v>
      </c>
      <c r="O60" s="60" t="s">
        <v>67</v>
      </c>
      <c r="P60" s="61">
        <v>-3.0958693589168198</v>
      </c>
      <c r="Q60" s="61">
        <v>-2.1112173524889699</v>
      </c>
    </row>
    <row r="61" spans="1:17" x14ac:dyDescent="0.3">
      <c r="A61" s="32" t="s">
        <v>36</v>
      </c>
      <c r="B61" s="32" t="s">
        <v>63</v>
      </c>
      <c r="C61" s="32">
        <v>100</v>
      </c>
      <c r="D61" s="32">
        <v>26</v>
      </c>
      <c r="E61" s="32">
        <v>4650</v>
      </c>
      <c r="F61" s="32">
        <v>1000</v>
      </c>
      <c r="G61" s="19">
        <v>100.41652665615</v>
      </c>
      <c r="H61" s="19">
        <v>26.916527310149998</v>
      </c>
      <c r="I61" s="20">
        <v>5000</v>
      </c>
      <c r="J61" s="21">
        <v>0.116704127532364</v>
      </c>
      <c r="K61" s="21">
        <v>-1.65091243867558</v>
      </c>
      <c r="L61" s="22">
        <v>1000</v>
      </c>
      <c r="M61" s="37">
        <v>0.12400240861459599</v>
      </c>
      <c r="N61" s="37">
        <v>-1.6462865577925501</v>
      </c>
      <c r="O61" s="24" t="s">
        <v>67</v>
      </c>
      <c r="P61" s="46">
        <v>0.29632483619238198</v>
      </c>
      <c r="Q61" s="46">
        <v>-1.52848125822704</v>
      </c>
    </row>
    <row r="62" spans="1:17" x14ac:dyDescent="0.3">
      <c r="A62" s="4"/>
      <c r="B62" s="4"/>
      <c r="C62" s="4"/>
      <c r="D62" s="4"/>
      <c r="E62" s="4"/>
      <c r="F62" s="4"/>
      <c r="G62" s="19">
        <v>100.41652665615</v>
      </c>
      <c r="H62" s="19">
        <v>26.08319398015</v>
      </c>
      <c r="I62" s="20"/>
      <c r="J62" s="21">
        <v>0.45537656743130001</v>
      </c>
      <c r="K62" s="21">
        <v>-1.6968108719864501</v>
      </c>
      <c r="L62" s="22"/>
      <c r="M62" s="23">
        <v>0.40732553698165003</v>
      </c>
      <c r="N62" s="23">
        <v>-1.6892828633133199</v>
      </c>
      <c r="O62" s="24"/>
      <c r="P62" s="25">
        <v>0.30460247025304199</v>
      </c>
      <c r="Q62" s="25">
        <v>-1.87619900202208</v>
      </c>
    </row>
    <row r="63" spans="1:17" x14ac:dyDescent="0.3">
      <c r="A63" s="4"/>
      <c r="B63" s="4"/>
      <c r="C63" s="4"/>
      <c r="D63" s="4"/>
      <c r="E63" s="4"/>
      <c r="F63" s="4"/>
      <c r="G63" s="26" t="s">
        <v>71</v>
      </c>
      <c r="H63" s="19"/>
      <c r="I63" s="40" t="s">
        <v>68</v>
      </c>
      <c r="J63" s="21">
        <f>AVERAGE(J61:J62)</f>
        <v>0.28604034748183199</v>
      </c>
      <c r="K63" s="21">
        <f>AVERAGE(K61:K62)</f>
        <v>-1.6738616553310151</v>
      </c>
      <c r="L63" s="52" t="s">
        <v>68</v>
      </c>
      <c r="M63" s="48">
        <f>AVERAGE(M61:M62)</f>
        <v>0.26566397279812304</v>
      </c>
      <c r="N63" s="48">
        <f>AVERAGE(N61:N62)</f>
        <v>-1.6677847105529349</v>
      </c>
      <c r="O63" s="66" t="s">
        <v>68</v>
      </c>
      <c r="P63" s="25">
        <f>AVERAGE(P61:P62)</f>
        <v>0.30046365322271196</v>
      </c>
      <c r="Q63" s="25">
        <f>AVERAGE(Q61:Q62)</f>
        <v>-1.70234013012456</v>
      </c>
    </row>
    <row r="64" spans="1:17" x14ac:dyDescent="0.3">
      <c r="A64" s="32" t="s">
        <v>44</v>
      </c>
      <c r="B64" s="32" t="s">
        <v>63</v>
      </c>
      <c r="C64" s="32">
        <v>107.8</v>
      </c>
      <c r="D64" s="32">
        <v>34.700000000000003</v>
      </c>
      <c r="E64" s="32">
        <v>10000</v>
      </c>
      <c r="F64" s="32">
        <v>4000</v>
      </c>
      <c r="G64" s="33">
        <v>107.91652662615</v>
      </c>
      <c r="H64" s="33">
        <v>34.41652728015</v>
      </c>
      <c r="I64" s="43">
        <v>10000</v>
      </c>
      <c r="J64" s="35">
        <v>-1.2163804671021801</v>
      </c>
      <c r="K64" s="35">
        <v>-2.2924762109335801</v>
      </c>
      <c r="L64" s="44">
        <v>4000</v>
      </c>
      <c r="M64" s="64">
        <v>-0.99770680790389799</v>
      </c>
      <c r="N64" s="64">
        <v>-2.0428748609199201</v>
      </c>
      <c r="O64" s="45" t="s">
        <v>67</v>
      </c>
      <c r="P64" s="46">
        <v>-0.80233269782808203</v>
      </c>
      <c r="Q64" s="46">
        <v>-1.9088876059559201</v>
      </c>
    </row>
    <row r="65" spans="1:17" x14ac:dyDescent="0.3">
      <c r="A65" s="4"/>
      <c r="B65" s="4"/>
      <c r="C65" s="4"/>
      <c r="D65" s="4"/>
      <c r="E65" s="4"/>
      <c r="F65" s="4"/>
      <c r="G65" s="19">
        <v>107.08319329615</v>
      </c>
      <c r="H65" s="19">
        <v>34.41652728015</v>
      </c>
      <c r="I65" s="20"/>
      <c r="J65" s="21">
        <v>-1.2636482855284199</v>
      </c>
      <c r="K65" s="21">
        <v>-2.1312177222303501</v>
      </c>
      <c r="L65" s="22"/>
      <c r="M65" s="48">
        <v>-0.907836679920481</v>
      </c>
      <c r="N65" s="48">
        <v>-2.2174655505618301</v>
      </c>
      <c r="O65" s="24"/>
      <c r="P65" s="25">
        <v>-0.80876361765052096</v>
      </c>
      <c r="Q65" s="25">
        <v>-2.2112674452648302</v>
      </c>
    </row>
    <row r="66" spans="1:17" x14ac:dyDescent="0.3">
      <c r="A66" s="8"/>
      <c r="B66" s="8"/>
      <c r="C66" s="8"/>
      <c r="D66" s="8"/>
      <c r="E66" s="8"/>
      <c r="F66" s="8"/>
      <c r="G66" s="26" t="s">
        <v>69</v>
      </c>
      <c r="H66" s="27"/>
      <c r="I66" s="14" t="s">
        <v>68</v>
      </c>
      <c r="J66" s="28">
        <f>AVERAGE(J64:J65)</f>
        <v>-1.2400143763153</v>
      </c>
      <c r="K66" s="28">
        <f>AVERAGE(K64:K65)</f>
        <v>-2.2118469665819651</v>
      </c>
      <c r="L66" s="16" t="s">
        <v>68</v>
      </c>
      <c r="M66" s="50">
        <f>AVERAGE(M64:M65)</f>
        <v>-0.95277174391218944</v>
      </c>
      <c r="N66" s="50">
        <f>AVERAGE(N64:N65)</f>
        <v>-2.1301702057408751</v>
      </c>
      <c r="O66" s="17" t="s">
        <v>68</v>
      </c>
      <c r="P66" s="31">
        <f>AVERAGE(P64:P65)</f>
        <v>-0.80554815773930155</v>
      </c>
      <c r="Q66" s="31">
        <f>AVERAGE(Q64:Q65)</f>
        <v>-2.0600775256103754</v>
      </c>
    </row>
    <row r="67" spans="1:17" x14ac:dyDescent="0.3">
      <c r="A67" s="54" t="s">
        <v>46</v>
      </c>
      <c r="B67" s="54" t="s">
        <v>63</v>
      </c>
      <c r="C67" s="54">
        <v>126.5</v>
      </c>
      <c r="D67" s="54">
        <v>50.4</v>
      </c>
      <c r="E67" s="54">
        <v>6000</v>
      </c>
      <c r="F67" s="54">
        <v>2000</v>
      </c>
      <c r="G67" s="55">
        <v>126.24985988615001</v>
      </c>
      <c r="H67" s="55">
        <v>50.249860550149997</v>
      </c>
      <c r="I67" s="56">
        <v>6000</v>
      </c>
      <c r="J67" s="57">
        <v>-2.7000099388854499</v>
      </c>
      <c r="K67" s="57">
        <v>-1.97219322568566</v>
      </c>
      <c r="L67" s="58">
        <v>2000</v>
      </c>
      <c r="M67" s="48">
        <v>-2.78608633190834</v>
      </c>
      <c r="N67" s="48">
        <v>-1.83811079650181</v>
      </c>
      <c r="O67" s="60" t="s">
        <v>67</v>
      </c>
      <c r="P67" s="61">
        <v>-2.82341606896316</v>
      </c>
      <c r="Q67" s="61">
        <v>-1.7742775563802899</v>
      </c>
    </row>
    <row r="68" spans="1:17" x14ac:dyDescent="0.3">
      <c r="A68" s="54" t="s">
        <v>31</v>
      </c>
      <c r="B68" s="54" t="s">
        <v>63</v>
      </c>
      <c r="C68" s="54">
        <v>70.5</v>
      </c>
      <c r="D68" s="54">
        <v>33.5</v>
      </c>
      <c r="E68" s="54">
        <v>9000</v>
      </c>
      <c r="F68" s="54">
        <v>6000</v>
      </c>
      <c r="G68" s="55">
        <v>70.416526776149993</v>
      </c>
      <c r="H68" s="55">
        <v>33.583193950149997</v>
      </c>
      <c r="I68" s="56">
        <v>9000</v>
      </c>
      <c r="J68" s="57">
        <v>-0.61711093830599695</v>
      </c>
      <c r="K68" s="57">
        <v>-2.0776652323537599</v>
      </c>
      <c r="L68" s="58">
        <v>6000</v>
      </c>
      <c r="M68" s="59">
        <v>-0.28602495565309499</v>
      </c>
      <c r="N68" s="59">
        <v>-1.86429285251557</v>
      </c>
      <c r="O68" s="60" t="s">
        <v>67</v>
      </c>
      <c r="P68" s="61">
        <v>-0.139592949317801</v>
      </c>
      <c r="Q68" s="61">
        <v>-1.8605594786736499</v>
      </c>
    </row>
    <row r="69" spans="1:17" x14ac:dyDescent="0.3">
      <c r="A69" s="54" t="s">
        <v>40</v>
      </c>
      <c r="B69" s="54" t="s">
        <v>63</v>
      </c>
      <c r="C69" s="54">
        <v>119</v>
      </c>
      <c r="D69" s="54">
        <v>27</v>
      </c>
      <c r="E69" s="54">
        <v>10000</v>
      </c>
      <c r="F69" s="54">
        <v>3000</v>
      </c>
      <c r="G69" s="55">
        <v>119.58319324615</v>
      </c>
      <c r="H69" s="55">
        <v>27.749860640150001</v>
      </c>
      <c r="I69" s="56">
        <v>10000</v>
      </c>
      <c r="J69" s="57">
        <v>1.0205470186091601</v>
      </c>
      <c r="K69" s="57">
        <v>-0.54963550984044796</v>
      </c>
      <c r="L69" s="58">
        <v>3000</v>
      </c>
      <c r="M69" s="59">
        <v>1.3954883356993699</v>
      </c>
      <c r="N69" s="59">
        <v>-0.54225552458910697</v>
      </c>
      <c r="O69" s="60" t="s">
        <v>67</v>
      </c>
      <c r="P69" s="61">
        <v>1.5079522846715301</v>
      </c>
      <c r="Q69" s="61">
        <v>-0.465304378870675</v>
      </c>
    </row>
    <row r="70" spans="1:17" x14ac:dyDescent="0.3">
      <c r="A70" s="54" t="s">
        <v>28</v>
      </c>
      <c r="B70" s="54" t="s">
        <v>63</v>
      </c>
      <c r="C70" s="54">
        <v>69</v>
      </c>
      <c r="D70" s="54">
        <v>25.5</v>
      </c>
      <c r="E70" s="54">
        <v>9000</v>
      </c>
      <c r="F70" s="54">
        <v>6000</v>
      </c>
      <c r="G70" s="55">
        <v>69.583193446150005</v>
      </c>
      <c r="H70" s="55">
        <v>25.249860650150001</v>
      </c>
      <c r="I70" s="56">
        <v>9000</v>
      </c>
      <c r="J70" s="57">
        <v>0.117397112573533</v>
      </c>
      <c r="K70" s="57">
        <v>-4.3790951647976302</v>
      </c>
      <c r="L70" s="58">
        <v>6000</v>
      </c>
      <c r="M70" s="59">
        <v>0.23781494702259301</v>
      </c>
      <c r="N70" s="59">
        <v>-4.3754592482811097</v>
      </c>
      <c r="O70" s="60" t="s">
        <v>67</v>
      </c>
      <c r="P70" s="61">
        <v>0.14706459833289601</v>
      </c>
      <c r="Q70" s="61">
        <v>-4.6954945074216203</v>
      </c>
    </row>
    <row r="71" spans="1:17" x14ac:dyDescent="0.3">
      <c r="A71" s="32" t="s">
        <v>45</v>
      </c>
      <c r="B71" s="32" t="s">
        <v>63</v>
      </c>
      <c r="C71" s="32">
        <v>101</v>
      </c>
      <c r="D71" s="32">
        <v>36</v>
      </c>
      <c r="E71" s="32">
        <v>10000</v>
      </c>
      <c r="F71" s="32">
        <v>4000</v>
      </c>
      <c r="G71" s="19">
        <v>101.24985998615</v>
      </c>
      <c r="H71" s="19">
        <v>36.916527270149999</v>
      </c>
      <c r="I71" s="20">
        <v>10000</v>
      </c>
      <c r="J71" s="21">
        <v>-2.6394140682775098</v>
      </c>
      <c r="K71" s="21">
        <v>-1.84818135844797</v>
      </c>
      <c r="L71" s="44">
        <v>4000</v>
      </c>
      <c r="M71" s="48">
        <v>-2.4753521520954802</v>
      </c>
      <c r="N71" s="48">
        <v>-1.70477792346254</v>
      </c>
      <c r="O71" s="45" t="s">
        <v>67</v>
      </c>
      <c r="P71" s="25">
        <v>-2.2908969382922599</v>
      </c>
      <c r="Q71" s="25">
        <v>-1.2875339009529601</v>
      </c>
    </row>
    <row r="72" spans="1:17" x14ac:dyDescent="0.3">
      <c r="A72" s="4"/>
      <c r="B72" s="4"/>
      <c r="C72" s="4"/>
      <c r="D72" s="4"/>
      <c r="E72" s="4"/>
      <c r="F72" s="4"/>
      <c r="G72" s="19">
        <v>101.24985998615</v>
      </c>
      <c r="H72" s="19">
        <v>36.083193940149997</v>
      </c>
      <c r="I72" s="20"/>
      <c r="J72" s="21">
        <v>-2.5303289664061199</v>
      </c>
      <c r="K72" s="21">
        <v>-2.01405391589598</v>
      </c>
      <c r="L72" s="22"/>
      <c r="M72" s="48">
        <v>-2.34118112792705</v>
      </c>
      <c r="N72" s="48">
        <v>-1.8693630550264</v>
      </c>
      <c r="O72" s="24"/>
      <c r="P72" s="25">
        <v>-2.1179231076601601</v>
      </c>
      <c r="Q72" s="25">
        <v>-1.6823726050447101</v>
      </c>
    </row>
    <row r="73" spans="1:17" x14ac:dyDescent="0.3">
      <c r="A73" s="8"/>
      <c r="B73" s="8"/>
      <c r="C73" s="8"/>
      <c r="D73" s="8"/>
      <c r="E73" s="8"/>
      <c r="F73" s="8"/>
      <c r="G73" s="26" t="s">
        <v>71</v>
      </c>
      <c r="H73" s="27"/>
      <c r="I73" s="14" t="s">
        <v>68</v>
      </c>
      <c r="J73" s="28">
        <f>AVERAGE(J71:J72)</f>
        <v>-2.5848715173418149</v>
      </c>
      <c r="K73" s="28">
        <f>AVERAGE(K71:K72)</f>
        <v>-1.9311176371719752</v>
      </c>
      <c r="L73" s="67" t="s">
        <v>68</v>
      </c>
      <c r="M73" s="29">
        <f>AVERAGE(M71:M72)</f>
        <v>-2.4082666400112651</v>
      </c>
      <c r="N73" s="29">
        <f>AVERAGE(N71:N72)</f>
        <v>-1.78707048924447</v>
      </c>
      <c r="O73" s="30" t="s">
        <v>68</v>
      </c>
      <c r="P73" s="81">
        <f>AVERAGE(P71:P72)</f>
        <v>-2.20441002297621</v>
      </c>
      <c r="Q73" s="81">
        <f>AVERAGE(Q71:Q72)</f>
        <v>-1.4849532529988352</v>
      </c>
    </row>
    <row r="74" spans="1:17" x14ac:dyDescent="0.3">
      <c r="A74" s="54" t="s">
        <v>43</v>
      </c>
      <c r="B74" s="54" t="s">
        <v>63</v>
      </c>
      <c r="C74" s="54">
        <v>109</v>
      </c>
      <c r="D74" s="54">
        <v>29</v>
      </c>
      <c r="E74" s="54">
        <v>10000</v>
      </c>
      <c r="F74" s="54">
        <v>3000</v>
      </c>
      <c r="G74" s="55">
        <v>109.58319328615001</v>
      </c>
      <c r="H74" s="55">
        <v>29.416527300150001</v>
      </c>
      <c r="I74" s="56">
        <v>10000</v>
      </c>
      <c r="J74" s="57">
        <v>0.158409756072066</v>
      </c>
      <c r="K74" s="57">
        <v>-1.5137064730403</v>
      </c>
      <c r="L74" s="58">
        <v>3000</v>
      </c>
      <c r="M74" s="23">
        <v>0.66601747435634695</v>
      </c>
      <c r="N74" s="23">
        <v>-1.4003570546113899</v>
      </c>
      <c r="O74" s="60" t="s">
        <v>67</v>
      </c>
      <c r="P74" s="69">
        <v>1.08295652531306</v>
      </c>
      <c r="Q74" s="69">
        <v>-0.76361852911113903</v>
      </c>
    </row>
    <row r="75" spans="1:17" x14ac:dyDescent="0.3">
      <c r="A75" s="54" t="s">
        <v>33</v>
      </c>
      <c r="B75" s="54" t="s">
        <v>63</v>
      </c>
      <c r="C75" s="54">
        <v>81</v>
      </c>
      <c r="D75" s="54">
        <v>44</v>
      </c>
      <c r="E75" s="54">
        <v>5000</v>
      </c>
      <c r="F75" s="54">
        <v>3000</v>
      </c>
      <c r="G75" s="55">
        <v>81.249860066150006</v>
      </c>
      <c r="H75" s="55">
        <v>44.416527240150003</v>
      </c>
      <c r="I75" s="56">
        <v>5000</v>
      </c>
      <c r="J75" s="57">
        <v>-2.4593564819234399</v>
      </c>
      <c r="K75" s="57">
        <v>-1.60708744619255</v>
      </c>
      <c r="L75" s="58">
        <v>3000</v>
      </c>
      <c r="M75" s="82">
        <v>-2.2988062985451201</v>
      </c>
      <c r="N75" s="82">
        <v>-1.55384190173334</v>
      </c>
      <c r="O75" s="60" t="s">
        <v>67</v>
      </c>
      <c r="P75" s="83">
        <v>-2.0587588680697801</v>
      </c>
      <c r="Q75" s="83">
        <v>-0.96391198502973097</v>
      </c>
    </row>
    <row r="76" spans="1:17" x14ac:dyDescent="0.3">
      <c r="A76" s="54" t="s">
        <v>34</v>
      </c>
      <c r="B76" s="54" t="s">
        <v>63</v>
      </c>
      <c r="C76" s="54">
        <v>81.5</v>
      </c>
      <c r="D76" s="54">
        <v>43.5</v>
      </c>
      <c r="E76" s="54">
        <v>5000</v>
      </c>
      <c r="F76" s="54">
        <v>2000</v>
      </c>
      <c r="G76" s="55">
        <v>81.249860066150006</v>
      </c>
      <c r="H76" s="55">
        <v>43.583193910150001</v>
      </c>
      <c r="I76" s="56">
        <v>5000</v>
      </c>
      <c r="J76" s="57">
        <v>-2.1482734624019701</v>
      </c>
      <c r="K76" s="57">
        <v>-1.77840905167689</v>
      </c>
      <c r="L76" s="58">
        <v>2000</v>
      </c>
      <c r="M76" s="48">
        <v>-2.1133850003132002</v>
      </c>
      <c r="N76" s="48">
        <v>-1.66367083158906</v>
      </c>
      <c r="O76" s="60" t="s">
        <v>67</v>
      </c>
      <c r="P76" s="69">
        <v>-1.47909888215028</v>
      </c>
      <c r="Q76" s="69">
        <v>-1.3006418720347099</v>
      </c>
    </row>
    <row r="77" spans="1:17" x14ac:dyDescent="0.3">
      <c r="A77" s="54" t="s">
        <v>50</v>
      </c>
      <c r="B77" s="54" t="s">
        <v>63</v>
      </c>
      <c r="C77" s="54">
        <v>129.5</v>
      </c>
      <c r="D77" s="54">
        <v>63</v>
      </c>
      <c r="E77" s="54">
        <v>3000</v>
      </c>
      <c r="F77" s="54">
        <v>170</v>
      </c>
      <c r="G77" s="55">
        <v>129.58319320615001</v>
      </c>
      <c r="H77" s="55">
        <v>63.583193830150002</v>
      </c>
      <c r="I77" s="56">
        <v>3000</v>
      </c>
      <c r="J77" s="57">
        <v>-4.5062835801788497</v>
      </c>
      <c r="K77" s="57">
        <v>-1.32099210070395</v>
      </c>
      <c r="L77" s="58" t="s">
        <v>67</v>
      </c>
      <c r="M77" s="84">
        <v>-4.4720405763146296</v>
      </c>
      <c r="N77" s="84">
        <v>-1.04506812597035</v>
      </c>
      <c r="O77" s="60" t="s">
        <v>67</v>
      </c>
      <c r="P77" s="85">
        <v>-4.4720405763146296</v>
      </c>
      <c r="Q77" s="85">
        <v>-1.04506812597035</v>
      </c>
    </row>
    <row r="78" spans="1:17" x14ac:dyDescent="0.3">
      <c r="A78" s="54" t="s">
        <v>35</v>
      </c>
      <c r="B78" s="54" t="s">
        <v>63</v>
      </c>
      <c r="C78" s="54">
        <v>103</v>
      </c>
      <c r="D78" s="54">
        <v>28</v>
      </c>
      <c r="E78" s="54">
        <v>4650</v>
      </c>
      <c r="F78" s="54">
        <v>1000</v>
      </c>
      <c r="G78" s="55">
        <v>103.74985997615001</v>
      </c>
      <c r="H78" s="55">
        <v>28.583193970149999</v>
      </c>
      <c r="I78" s="56">
        <v>5000</v>
      </c>
      <c r="J78" s="57">
        <v>0.40527697630687298</v>
      </c>
      <c r="K78" s="57">
        <v>-1.71568520285205</v>
      </c>
      <c r="L78" s="58">
        <v>1000</v>
      </c>
      <c r="M78" s="84">
        <v>0.43427499983134998</v>
      </c>
      <c r="N78" s="84">
        <v>-1.61034174268549</v>
      </c>
      <c r="O78" s="60" t="s">
        <v>67</v>
      </c>
      <c r="P78" s="25">
        <v>0.42169610427047299</v>
      </c>
      <c r="Q78" s="25">
        <v>-1.36927747888658</v>
      </c>
    </row>
    <row r="79" spans="1:17" x14ac:dyDescent="0.3">
      <c r="A79" s="54" t="s">
        <v>21</v>
      </c>
      <c r="B79" s="54" t="s">
        <v>62</v>
      </c>
      <c r="C79" s="54">
        <v>0</v>
      </c>
      <c r="D79" s="54">
        <v>43</v>
      </c>
      <c r="E79" s="54">
        <v>6000</v>
      </c>
      <c r="F79" s="54">
        <v>3000</v>
      </c>
      <c r="G79" s="55">
        <v>0.41652705615001701</v>
      </c>
      <c r="H79" s="55">
        <v>43.583193910150001</v>
      </c>
      <c r="I79" s="56">
        <v>6000</v>
      </c>
      <c r="J79" s="57">
        <v>0.46703781283648599</v>
      </c>
      <c r="K79" s="57">
        <v>-0.80313959384974798</v>
      </c>
      <c r="L79" s="58">
        <v>3000</v>
      </c>
      <c r="M79" s="86">
        <v>0.60714167495402505</v>
      </c>
      <c r="N79" s="86">
        <v>-0.60149118611664298</v>
      </c>
      <c r="O79" s="60" t="s">
        <v>67</v>
      </c>
      <c r="P79" s="87">
        <v>0.13617078759024501</v>
      </c>
      <c r="Q79" s="87">
        <v>-0.54139130112612299</v>
      </c>
    </row>
    <row r="80" spans="1:17" x14ac:dyDescent="0.3">
      <c r="A80" s="32" t="s">
        <v>18</v>
      </c>
      <c r="B80" s="32" t="s">
        <v>62</v>
      </c>
      <c r="C80" s="32">
        <v>10</v>
      </c>
      <c r="D80" s="32">
        <v>46</v>
      </c>
      <c r="E80" s="32">
        <v>8000</v>
      </c>
      <c r="F80" s="32">
        <v>3000</v>
      </c>
      <c r="G80" s="19">
        <v>10.416527016150001</v>
      </c>
      <c r="H80" s="19">
        <v>46.916527230150002</v>
      </c>
      <c r="I80" s="20">
        <v>8000</v>
      </c>
      <c r="J80" s="21">
        <v>-0.92299596959808805</v>
      </c>
      <c r="K80" s="21">
        <v>0.55737889389571205</v>
      </c>
      <c r="L80" s="41">
        <v>3000</v>
      </c>
      <c r="M80" s="48">
        <v>-0.535630894225403</v>
      </c>
      <c r="N80" s="48">
        <v>0.91633954740446399</v>
      </c>
      <c r="O80" s="42" t="s">
        <v>67</v>
      </c>
      <c r="P80" s="25">
        <v>-0.60460541945500701</v>
      </c>
      <c r="Q80" s="25">
        <v>1.1645768736059099</v>
      </c>
    </row>
    <row r="81" spans="1:17" x14ac:dyDescent="0.3">
      <c r="A81" s="4"/>
      <c r="B81" s="4"/>
      <c r="C81" s="4"/>
      <c r="D81" s="4"/>
      <c r="E81" s="4"/>
      <c r="F81" s="4"/>
      <c r="G81" s="19">
        <v>10.416527016150001</v>
      </c>
      <c r="H81" s="19">
        <v>46.08319390015</v>
      </c>
      <c r="I81" s="20"/>
      <c r="J81" s="21">
        <v>-0.83760235571661801</v>
      </c>
      <c r="K81" s="21">
        <v>0.16502761188590301</v>
      </c>
      <c r="L81" s="41"/>
      <c r="M81" s="48">
        <v>-0.39011898431693398</v>
      </c>
      <c r="N81" s="48">
        <v>0.48537106610708503</v>
      </c>
      <c r="O81" s="42"/>
      <c r="P81" s="25">
        <v>-0.58862407531119199</v>
      </c>
      <c r="Q81" s="25">
        <v>0.46756335862496201</v>
      </c>
    </row>
    <row r="82" spans="1:17" x14ac:dyDescent="0.3">
      <c r="A82" s="88"/>
      <c r="B82" s="88"/>
      <c r="C82" s="88"/>
      <c r="D82" s="88"/>
      <c r="E82" s="88"/>
      <c r="F82" s="88"/>
      <c r="G82" s="26" t="s">
        <v>71</v>
      </c>
      <c r="H82" s="89"/>
      <c r="I82" s="90" t="s">
        <v>68</v>
      </c>
      <c r="J82" s="91">
        <f>AVERAGE(J80:J81)</f>
        <v>-0.88029916265735308</v>
      </c>
      <c r="K82" s="91">
        <f>AVERAGE(K80:K81)</f>
        <v>0.36120325289080751</v>
      </c>
      <c r="L82" s="92" t="s">
        <v>68</v>
      </c>
      <c r="M82" s="93">
        <f>AVERAGE(M80:M81)</f>
        <v>-0.46287493927116852</v>
      </c>
      <c r="N82" s="93">
        <f>AVERAGE(N80:N81)</f>
        <v>0.70085530675577457</v>
      </c>
      <c r="O82" s="94" t="s">
        <v>68</v>
      </c>
      <c r="P82" s="95">
        <f>AVERAGE(P80:P81)</f>
        <v>-0.5966147473830995</v>
      </c>
      <c r="Q82" s="95">
        <f>AVERAGE(Q80:Q81)</f>
        <v>0.81607011611543601</v>
      </c>
    </row>
    <row r="83" spans="1:17" x14ac:dyDescent="0.3">
      <c r="A83" s="96" t="s">
        <v>22</v>
      </c>
      <c r="B83" s="96" t="s">
        <v>62</v>
      </c>
      <c r="C83" s="96">
        <v>2</v>
      </c>
      <c r="D83" s="96">
        <v>46</v>
      </c>
      <c r="E83" s="96">
        <v>6000</v>
      </c>
      <c r="F83" s="96">
        <v>2000</v>
      </c>
      <c r="G83" s="19">
        <v>2.08319371614999</v>
      </c>
      <c r="H83" s="19">
        <v>46.916527230150002</v>
      </c>
      <c r="I83" s="20">
        <v>6000</v>
      </c>
      <c r="J83" s="21">
        <v>0.185194621604718</v>
      </c>
      <c r="K83" s="21">
        <v>-0.44946382698657</v>
      </c>
      <c r="L83" s="97">
        <v>2000</v>
      </c>
      <c r="M83" s="23">
        <v>-6.3093419649847701E-2</v>
      </c>
      <c r="N83" s="23">
        <v>-0.35889429202683498</v>
      </c>
      <c r="O83" s="98" t="s">
        <v>67</v>
      </c>
      <c r="P83" s="69">
        <v>-0.14040951815004701</v>
      </c>
      <c r="Q83" s="69">
        <v>-0.214474734816479</v>
      </c>
    </row>
    <row r="84" spans="1:17" x14ac:dyDescent="0.3">
      <c r="A84" s="4"/>
      <c r="B84" s="4"/>
      <c r="C84" s="4"/>
      <c r="D84" s="4"/>
      <c r="E84" s="4"/>
      <c r="F84" s="4"/>
      <c r="G84" s="19">
        <v>2.9165270461500099</v>
      </c>
      <c r="H84" s="19">
        <v>46.916527230150002</v>
      </c>
      <c r="I84" s="20"/>
      <c r="J84" s="21">
        <v>0.130656864361585</v>
      </c>
      <c r="K84" s="21">
        <v>-0.41228360894865501</v>
      </c>
      <c r="L84" s="22"/>
      <c r="M84" s="23">
        <v>-7.2245130439526503E-2</v>
      </c>
      <c r="N84" s="23">
        <v>-0.35747791601794598</v>
      </c>
      <c r="O84" s="24"/>
      <c r="P84" s="69">
        <v>-0.15297850657306</v>
      </c>
      <c r="Q84" s="69">
        <v>-0.18671016470288601</v>
      </c>
    </row>
    <row r="85" spans="1:17" x14ac:dyDescent="0.3">
      <c r="A85" s="4"/>
      <c r="B85" s="4"/>
      <c r="C85" s="4"/>
      <c r="D85" s="4"/>
      <c r="E85" s="4"/>
      <c r="F85" s="4"/>
      <c r="G85" s="19">
        <v>2.08319371614999</v>
      </c>
      <c r="H85" s="19">
        <v>46.08319390015</v>
      </c>
      <c r="I85" s="20"/>
      <c r="J85" s="21">
        <v>0.51017525057979196</v>
      </c>
      <c r="K85" s="21">
        <v>0.15648900475831301</v>
      </c>
      <c r="L85" s="22"/>
      <c r="M85" s="23">
        <v>0.334664449394518</v>
      </c>
      <c r="N85" s="23">
        <v>0.22784902372044299</v>
      </c>
      <c r="O85" s="24"/>
      <c r="P85" s="69">
        <v>0.28090809684829998</v>
      </c>
      <c r="Q85" s="69">
        <v>0.43100505402844902</v>
      </c>
    </row>
    <row r="86" spans="1:17" x14ac:dyDescent="0.3">
      <c r="A86" s="4"/>
      <c r="B86" s="4"/>
      <c r="C86" s="4"/>
      <c r="D86" s="4"/>
      <c r="E86" s="4"/>
      <c r="F86" s="4"/>
      <c r="G86" s="19">
        <v>2.9165270461500099</v>
      </c>
      <c r="H86" s="19">
        <v>46.08319390015</v>
      </c>
      <c r="I86" s="20"/>
      <c r="J86" s="21">
        <v>9.0621082985286705E-2</v>
      </c>
      <c r="K86" s="21">
        <v>-0.217956685533926</v>
      </c>
      <c r="L86" s="22"/>
      <c r="M86" s="23">
        <v>-4.6750476925101099E-2</v>
      </c>
      <c r="N86" s="23">
        <v>-0.25130925972914397</v>
      </c>
      <c r="O86" s="24"/>
      <c r="P86" s="69">
        <v>-0.15281055499593599</v>
      </c>
      <c r="Q86" s="69">
        <v>-0.223806615750306</v>
      </c>
    </row>
    <row r="87" spans="1:17" x14ac:dyDescent="0.3">
      <c r="A87" s="88"/>
      <c r="B87" s="88"/>
      <c r="C87" s="88"/>
      <c r="D87" s="88"/>
      <c r="E87" s="88"/>
      <c r="F87" s="88"/>
      <c r="G87" s="49" t="s">
        <v>72</v>
      </c>
      <c r="H87" s="89"/>
      <c r="I87" s="90" t="s">
        <v>68</v>
      </c>
      <c r="J87" s="91">
        <f>AVERAGE(J83:J86)</f>
        <v>0.22916195488284541</v>
      </c>
      <c r="K87" s="91">
        <f>AVERAGE(K83:K86)</f>
        <v>-0.23080377917770953</v>
      </c>
      <c r="L87" s="92" t="s">
        <v>68</v>
      </c>
      <c r="M87" s="99">
        <f>AVERAGE(M83:M86)</f>
        <v>3.8143855595010677E-2</v>
      </c>
      <c r="N87" s="99">
        <f>AVERAGE(N83:N86)</f>
        <v>-0.18495811101337048</v>
      </c>
      <c r="O87" s="94" t="s">
        <v>68</v>
      </c>
      <c r="P87" s="100">
        <f>AVERAGE(P83:P86)</f>
        <v>-4.1322620717685749E-2</v>
      </c>
      <c r="Q87" s="100">
        <f>AVERAGE(Q83:Q86)</f>
        <v>-4.8496615310305489E-2</v>
      </c>
    </row>
    <row r="88" spans="1:17" x14ac:dyDescent="0.3">
      <c r="A88" s="101" t="s">
        <v>23</v>
      </c>
      <c r="B88" s="101" t="s">
        <v>62</v>
      </c>
      <c r="C88" s="101">
        <v>-3</v>
      </c>
      <c r="D88" s="101">
        <v>59.1</v>
      </c>
      <c r="E88" s="101">
        <v>4000</v>
      </c>
      <c r="F88" s="101">
        <v>2000</v>
      </c>
      <c r="G88" s="102">
        <v>-3.7501395938500099</v>
      </c>
      <c r="H88" s="102">
        <v>59.416527180149998</v>
      </c>
      <c r="I88" s="103">
        <v>4000</v>
      </c>
      <c r="J88" s="104">
        <v>0.51237810279796203</v>
      </c>
      <c r="K88" s="104">
        <v>0.45189683818661602</v>
      </c>
      <c r="L88" s="105">
        <v>2000</v>
      </c>
      <c r="M88" s="82">
        <v>0.17923855694019999</v>
      </c>
      <c r="N88" s="82">
        <v>0.51083614322772197</v>
      </c>
      <c r="O88" s="106" t="s">
        <v>67</v>
      </c>
      <c r="P88" s="107">
        <v>0.64151737047778301</v>
      </c>
      <c r="Q88" s="107">
        <v>0.81678107287524104</v>
      </c>
    </row>
    <row r="89" spans="1:17" x14ac:dyDescent="0.3">
      <c r="A89" s="96" t="s">
        <v>24</v>
      </c>
      <c r="B89" s="96" t="s">
        <v>62</v>
      </c>
      <c r="C89" s="96">
        <v>40</v>
      </c>
      <c r="D89" s="96">
        <v>61</v>
      </c>
      <c r="E89" s="96">
        <v>1000</v>
      </c>
      <c r="F89" s="96">
        <v>520</v>
      </c>
      <c r="G89" s="19">
        <v>40.416526896150003</v>
      </c>
      <c r="H89" s="19">
        <v>61.916527170149998</v>
      </c>
      <c r="I89" s="20">
        <v>1000</v>
      </c>
      <c r="J89" s="21">
        <v>-1.72638742284164</v>
      </c>
      <c r="K89" s="21">
        <v>-0.55587546041708802</v>
      </c>
      <c r="L89" s="22">
        <v>1000</v>
      </c>
      <c r="M89" s="23">
        <v>-1.72638742284164</v>
      </c>
      <c r="N89" s="23">
        <v>-0.55587546041708802</v>
      </c>
      <c r="O89" s="42" t="s">
        <v>67</v>
      </c>
      <c r="P89" s="108">
        <v>-1.44214597356023</v>
      </c>
      <c r="Q89" s="108">
        <v>-1.6659977959277601E-2</v>
      </c>
    </row>
    <row r="90" spans="1:17" x14ac:dyDescent="0.3">
      <c r="A90" s="4"/>
      <c r="B90" s="4"/>
      <c r="C90" s="4"/>
      <c r="D90" s="4"/>
      <c r="E90" s="4"/>
      <c r="F90" s="4"/>
      <c r="G90" s="19">
        <v>40.416526896150003</v>
      </c>
      <c r="H90" s="19">
        <v>61.083193840150003</v>
      </c>
      <c r="I90" s="20"/>
      <c r="J90" s="21">
        <v>-1.6636022212830399</v>
      </c>
      <c r="K90" s="21">
        <v>-0.45846333860479399</v>
      </c>
      <c r="L90" s="22"/>
      <c r="M90" s="23">
        <v>-1.6636022212830399</v>
      </c>
      <c r="N90" s="23">
        <v>-0.45846333860479399</v>
      </c>
      <c r="O90" s="42"/>
      <c r="P90" s="69">
        <v>-1.4156202507876501</v>
      </c>
      <c r="Q90" s="69">
        <v>-0.148276029011462</v>
      </c>
    </row>
    <row r="91" spans="1:17" x14ac:dyDescent="0.3">
      <c r="A91" s="4"/>
      <c r="B91" s="4"/>
      <c r="C91" s="4"/>
      <c r="D91" s="4"/>
      <c r="E91" s="4"/>
      <c r="F91" s="4"/>
      <c r="G91" s="19"/>
      <c r="H91" s="19"/>
      <c r="I91" s="40"/>
      <c r="J91" s="51"/>
      <c r="K91" s="51"/>
      <c r="L91" s="41" t="s">
        <v>67</v>
      </c>
      <c r="M91" s="23">
        <v>-1.44214597356023</v>
      </c>
      <c r="N91" s="23">
        <v>-1.6659977959277601E-2</v>
      </c>
      <c r="O91" s="42"/>
      <c r="P91" s="69"/>
      <c r="Q91" s="69"/>
    </row>
    <row r="92" spans="1:17" x14ac:dyDescent="0.3">
      <c r="A92" s="4"/>
      <c r="B92" s="4"/>
      <c r="C92" s="4"/>
      <c r="D92" s="4"/>
      <c r="E92" s="4"/>
      <c r="F92" s="4"/>
      <c r="G92" s="19"/>
      <c r="H92" s="19"/>
      <c r="I92" s="40"/>
      <c r="J92" s="21"/>
      <c r="K92" s="21"/>
      <c r="L92" s="41"/>
      <c r="M92" s="23">
        <v>-1.4156202507876501</v>
      </c>
      <c r="N92" s="23">
        <v>-0.148276029011462</v>
      </c>
      <c r="O92" s="42"/>
      <c r="P92" s="69"/>
      <c r="Q92" s="69"/>
    </row>
    <row r="93" spans="1:17" x14ac:dyDescent="0.3">
      <c r="A93" s="88"/>
      <c r="B93" s="88"/>
      <c r="C93" s="88"/>
      <c r="D93" s="88"/>
      <c r="E93" s="88"/>
      <c r="F93" s="88"/>
      <c r="G93" s="26" t="s">
        <v>71</v>
      </c>
      <c r="H93" s="89"/>
      <c r="I93" s="90" t="s">
        <v>68</v>
      </c>
      <c r="J93" s="91">
        <f>AVERAGE(J89:J90)</f>
        <v>-1.6949948220623399</v>
      </c>
      <c r="K93" s="91">
        <f>AVERAGE(K89:K90)</f>
        <v>-0.50716939951094098</v>
      </c>
      <c r="L93" s="92" t="s">
        <v>68</v>
      </c>
      <c r="M93" s="99">
        <f>AVERAGE(M89:M92)</f>
        <v>-1.5619389671181398</v>
      </c>
      <c r="N93" s="99">
        <f>AVERAGE(N89:N92)</f>
        <v>-0.29481870149815537</v>
      </c>
      <c r="O93" s="94" t="s">
        <v>68</v>
      </c>
      <c r="P93" s="100">
        <f>AVERAGE(P89:P90)</f>
        <v>-1.42888311217394</v>
      </c>
      <c r="Q93" s="100">
        <f>AVERAGE(Q89:Q90)</f>
        <v>-8.2468003485369798E-2</v>
      </c>
    </row>
    <row r="94" spans="1:17" x14ac:dyDescent="0.3">
      <c r="A94" s="109" t="s">
        <v>20</v>
      </c>
      <c r="B94" s="109" t="s">
        <v>62</v>
      </c>
      <c r="C94" s="109">
        <v>9</v>
      </c>
      <c r="D94" s="109">
        <v>40</v>
      </c>
      <c r="E94" s="109">
        <v>8000</v>
      </c>
      <c r="F94" s="109">
        <v>4000</v>
      </c>
      <c r="G94" s="89">
        <v>9.5831936861500004</v>
      </c>
      <c r="H94" s="89">
        <v>40.24986059015</v>
      </c>
      <c r="I94" s="110">
        <v>8000</v>
      </c>
      <c r="J94" s="91">
        <v>0.15637821498871601</v>
      </c>
      <c r="K94" s="91">
        <v>-1.64824110155249</v>
      </c>
      <c r="L94" s="92">
        <v>4000</v>
      </c>
      <c r="M94" s="23">
        <v>0.34843077786554899</v>
      </c>
      <c r="N94" s="23">
        <v>-1.47578553345283</v>
      </c>
      <c r="O94" s="94" t="s">
        <v>67</v>
      </c>
      <c r="P94" s="69">
        <v>-7.9115352568443806E-2</v>
      </c>
      <c r="Q94" s="69">
        <v>-1.6872488933696601</v>
      </c>
    </row>
    <row r="95" spans="1:17" x14ac:dyDescent="0.3">
      <c r="A95" s="101" t="s">
        <v>19</v>
      </c>
      <c r="B95" s="101" t="s">
        <v>62</v>
      </c>
      <c r="C95" s="101">
        <v>11</v>
      </c>
      <c r="D95" s="101">
        <v>43</v>
      </c>
      <c r="E95" s="101">
        <v>8000</v>
      </c>
      <c r="F95" s="101">
        <v>4000</v>
      </c>
      <c r="G95" s="102">
        <v>11.249860346149999</v>
      </c>
      <c r="H95" s="102">
        <v>43.583193910150001</v>
      </c>
      <c r="I95" s="103">
        <v>8000</v>
      </c>
      <c r="J95" s="104">
        <v>-6.1370866355024201E-2</v>
      </c>
      <c r="K95" s="104">
        <v>-1.22503578107904</v>
      </c>
      <c r="L95" s="105">
        <v>4000</v>
      </c>
      <c r="M95" s="82">
        <v>0.24862292705997799</v>
      </c>
      <c r="N95" s="82">
        <v>-0.90764935147998105</v>
      </c>
      <c r="O95" s="106" t="s">
        <v>67</v>
      </c>
      <c r="P95" s="107">
        <v>0.10026065254901</v>
      </c>
      <c r="Q95" s="107">
        <v>-0.85322467945802805</v>
      </c>
    </row>
    <row r="96" spans="1:17" x14ac:dyDescent="0.3">
      <c r="A96" s="101" t="s">
        <v>17</v>
      </c>
      <c r="B96" s="101" t="s">
        <v>61</v>
      </c>
      <c r="C96" s="101">
        <v>39</v>
      </c>
      <c r="D96" s="101">
        <v>44</v>
      </c>
      <c r="E96" s="101">
        <v>7000</v>
      </c>
      <c r="F96" s="101">
        <v>1000</v>
      </c>
      <c r="G96" s="102">
        <v>39.583193566150001</v>
      </c>
      <c r="H96" s="102">
        <v>44.416527240150003</v>
      </c>
      <c r="I96" s="103">
        <v>7000</v>
      </c>
      <c r="J96" s="104">
        <v>0.16049811497745101</v>
      </c>
      <c r="K96" s="104">
        <v>-0.45786095507368002</v>
      </c>
      <c r="L96" s="105">
        <v>1000</v>
      </c>
      <c r="M96" s="23">
        <v>0.32390417372368302</v>
      </c>
      <c r="N96" s="23">
        <v>0.330029225468913</v>
      </c>
      <c r="O96" s="106" t="s">
        <v>67</v>
      </c>
      <c r="P96" s="69">
        <v>0.59377686418981201</v>
      </c>
      <c r="Q96" s="69">
        <v>0.78780297318687198</v>
      </c>
    </row>
    <row r="97" spans="1:17" x14ac:dyDescent="0.3">
      <c r="A97" s="96" t="s">
        <v>0</v>
      </c>
      <c r="B97" s="111" t="s">
        <v>61</v>
      </c>
      <c r="C97" s="111">
        <v>35</v>
      </c>
      <c r="D97" s="111">
        <v>31</v>
      </c>
      <c r="E97" s="111">
        <v>11650</v>
      </c>
      <c r="F97" s="111">
        <v>6000</v>
      </c>
      <c r="G97" s="112">
        <v>35.416526916149998</v>
      </c>
      <c r="H97" s="112">
        <v>31.91652729015</v>
      </c>
      <c r="I97" s="113">
        <v>12000</v>
      </c>
      <c r="J97" s="114">
        <v>-9.4775573309167596E-2</v>
      </c>
      <c r="K97" s="114">
        <v>-2.8923836510532301</v>
      </c>
      <c r="L97" s="97">
        <v>6000</v>
      </c>
      <c r="M97" s="115">
        <v>0.180879747166516</v>
      </c>
      <c r="N97" s="115">
        <v>-3.0150111653588501</v>
      </c>
      <c r="O97" s="98" t="s">
        <v>67</v>
      </c>
      <c r="P97" s="108">
        <v>7.0269712759831196E-2</v>
      </c>
      <c r="Q97" s="108">
        <v>-2.84676757063245</v>
      </c>
    </row>
    <row r="98" spans="1:17" x14ac:dyDescent="0.3">
      <c r="A98" s="4"/>
      <c r="B98" s="116"/>
      <c r="C98" s="116"/>
      <c r="D98" s="116"/>
      <c r="E98" s="116"/>
      <c r="F98" s="116"/>
      <c r="G98" s="19">
        <v>35.416526916149998</v>
      </c>
      <c r="H98" s="70">
        <v>31.083193960149998</v>
      </c>
      <c r="I98" s="20"/>
      <c r="J98" s="21">
        <v>-0.489434180618875</v>
      </c>
      <c r="K98" s="21">
        <v>-3.3888178219752501</v>
      </c>
      <c r="L98" s="22"/>
      <c r="M98" s="48">
        <v>-0.26811047293063001</v>
      </c>
      <c r="N98" s="48">
        <v>-3.48813175517886</v>
      </c>
      <c r="O98" s="24"/>
      <c r="P98" s="25">
        <v>-0.31160707592532999</v>
      </c>
      <c r="Q98" s="25">
        <v>-3.37206074841871</v>
      </c>
    </row>
    <row r="99" spans="1:17" x14ac:dyDescent="0.3">
      <c r="A99" s="88"/>
      <c r="B99" s="109"/>
      <c r="C99" s="109"/>
      <c r="D99" s="109"/>
      <c r="E99" s="109"/>
      <c r="F99" s="109"/>
      <c r="G99" s="26" t="s">
        <v>71</v>
      </c>
      <c r="H99" s="117"/>
      <c r="I99" s="110" t="s">
        <v>68</v>
      </c>
      <c r="J99" s="91">
        <f>AVERAGE(J97:J98)</f>
        <v>-0.29210487696402132</v>
      </c>
      <c r="K99" s="91">
        <f>AVERAGE(K97:K98)</f>
        <v>-3.1406007365142399</v>
      </c>
      <c r="L99" s="92" t="s">
        <v>68</v>
      </c>
      <c r="M99" s="99">
        <f>AVERAGE(M97:M98)</f>
        <v>-4.3615362882057002E-2</v>
      </c>
      <c r="N99" s="99">
        <f>AVERAGE(N97:N98)</f>
        <v>-3.2515714602688552</v>
      </c>
      <c r="O99" s="94" t="s">
        <v>68</v>
      </c>
      <c r="P99" s="100">
        <f>AVERAGE(P97:P98)</f>
        <v>-0.1206686815827494</v>
      </c>
      <c r="Q99" s="100">
        <f>AVERAGE(Q97:Q98)</f>
        <v>-3.10941415952558</v>
      </c>
    </row>
    <row r="100" spans="1:17" x14ac:dyDescent="0.3">
      <c r="A100" s="109" t="s">
        <v>16</v>
      </c>
      <c r="B100" s="109" t="s">
        <v>61</v>
      </c>
      <c r="C100" s="109">
        <v>35</v>
      </c>
      <c r="D100" s="109">
        <v>32</v>
      </c>
      <c r="E100" s="109">
        <v>11650</v>
      </c>
      <c r="F100" s="109">
        <v>6000</v>
      </c>
      <c r="G100" s="117">
        <v>35.416526920000003</v>
      </c>
      <c r="H100" s="117">
        <v>32.74986062</v>
      </c>
      <c r="I100" s="110">
        <v>12000</v>
      </c>
      <c r="J100" s="91">
        <v>0.205901841168003</v>
      </c>
      <c r="K100" s="91">
        <v>-2.6222843070308999</v>
      </c>
      <c r="L100" s="92">
        <v>6000</v>
      </c>
      <c r="M100" s="99">
        <v>0.54488967728431204</v>
      </c>
      <c r="N100" s="99">
        <v>-2.68898743522755</v>
      </c>
      <c r="O100" s="94" t="s">
        <v>67</v>
      </c>
      <c r="P100" s="100">
        <v>0.205901841168003</v>
      </c>
      <c r="Q100" s="100">
        <v>-2.6222843070308999</v>
      </c>
    </row>
    <row r="101" spans="1:17" x14ac:dyDescent="0.3">
      <c r="A101" s="101" t="s">
        <v>15</v>
      </c>
      <c r="B101" s="101" t="s">
        <v>61</v>
      </c>
      <c r="C101" s="101">
        <v>35</v>
      </c>
      <c r="D101" s="101">
        <v>32</v>
      </c>
      <c r="E101" s="101">
        <v>11650</v>
      </c>
      <c r="F101" s="101">
        <v>6000</v>
      </c>
      <c r="G101" s="102">
        <v>35.416526920000003</v>
      </c>
      <c r="H101" s="102">
        <v>32.74986062</v>
      </c>
      <c r="I101" s="103">
        <v>12000</v>
      </c>
      <c r="J101" s="104">
        <v>0.205901841168003</v>
      </c>
      <c r="K101" s="104">
        <v>-2.6222843070308999</v>
      </c>
      <c r="L101" s="105">
        <v>6000</v>
      </c>
      <c r="M101" s="23">
        <v>0.54488967728431204</v>
      </c>
      <c r="N101" s="23">
        <v>-2.68898743522755</v>
      </c>
      <c r="O101" s="106" t="s">
        <v>67</v>
      </c>
      <c r="P101" s="69">
        <v>0.205901841168003</v>
      </c>
      <c r="Q101" s="69">
        <v>-2.6222843070308999</v>
      </c>
    </row>
    <row r="102" spans="1:17" x14ac:dyDescent="0.3">
      <c r="A102" s="101" t="s">
        <v>56</v>
      </c>
      <c r="B102" s="101" t="s">
        <v>65</v>
      </c>
      <c r="C102" s="101">
        <v>-91</v>
      </c>
      <c r="D102" s="101">
        <v>19</v>
      </c>
      <c r="E102" s="101">
        <v>8700</v>
      </c>
      <c r="F102" s="101">
        <v>2000</v>
      </c>
      <c r="G102" s="118">
        <v>-91.250139243850001</v>
      </c>
      <c r="H102" s="118">
        <v>19.416527340150001</v>
      </c>
      <c r="I102" s="103">
        <v>9000</v>
      </c>
      <c r="J102" s="104">
        <v>1.81945625254615</v>
      </c>
      <c r="K102" s="104">
        <v>-2.36011563882162</v>
      </c>
      <c r="L102" s="105">
        <v>2000</v>
      </c>
      <c r="M102" s="86">
        <v>2.4424628298909101</v>
      </c>
      <c r="N102" s="86">
        <v>-2.1239426436172302</v>
      </c>
      <c r="O102" s="106" t="s">
        <v>67</v>
      </c>
      <c r="P102" s="87">
        <v>2.0481187601736401</v>
      </c>
      <c r="Q102" s="87">
        <v>-2.2033557677103199</v>
      </c>
    </row>
    <row r="103" spans="1:17" x14ac:dyDescent="0.3">
      <c r="A103" s="101" t="s">
        <v>55</v>
      </c>
      <c r="B103" s="101" t="s">
        <v>65</v>
      </c>
      <c r="C103" s="101">
        <v>-108</v>
      </c>
      <c r="D103" s="101">
        <v>29</v>
      </c>
      <c r="E103" s="101">
        <v>8700</v>
      </c>
      <c r="F103" s="101">
        <v>1000</v>
      </c>
      <c r="G103" s="118">
        <v>-108.75013917385</v>
      </c>
      <c r="H103" s="118">
        <v>29.416527300150001</v>
      </c>
      <c r="I103" s="103">
        <v>9000</v>
      </c>
      <c r="J103" s="104">
        <v>1.4394379749685899</v>
      </c>
      <c r="K103" s="104">
        <v>-2.5152615919635402</v>
      </c>
      <c r="L103" s="105">
        <v>1000</v>
      </c>
      <c r="M103" s="48">
        <v>0.91432040092445999</v>
      </c>
      <c r="N103" s="48">
        <v>-2.4337034749845499</v>
      </c>
      <c r="O103" s="106" t="s">
        <v>67</v>
      </c>
      <c r="P103" s="87">
        <v>0.18622996980908399</v>
      </c>
      <c r="Q103" s="87">
        <v>-2.5422192350043402</v>
      </c>
    </row>
    <row r="104" spans="1:17" x14ac:dyDescent="0.3">
      <c r="A104" s="101" t="s">
        <v>54</v>
      </c>
      <c r="B104" s="101" t="s">
        <v>64</v>
      </c>
      <c r="C104" s="101">
        <v>155</v>
      </c>
      <c r="D104" s="101">
        <v>-6</v>
      </c>
      <c r="E104" s="101">
        <v>9000</v>
      </c>
      <c r="F104" s="101">
        <v>50</v>
      </c>
      <c r="G104" s="118">
        <v>155.41652643615001</v>
      </c>
      <c r="H104" s="118">
        <v>-6.4168058898500204</v>
      </c>
      <c r="I104" s="103">
        <v>9000</v>
      </c>
      <c r="J104" s="104">
        <v>6.5949255133653901</v>
      </c>
      <c r="K104" s="104">
        <v>3.7870664803779901</v>
      </c>
      <c r="L104" s="105" t="s">
        <v>67</v>
      </c>
      <c r="M104" s="86">
        <v>6.2668425423981304</v>
      </c>
      <c r="N104" s="86">
        <v>3.98433497235983</v>
      </c>
      <c r="O104" s="106" t="s">
        <v>67</v>
      </c>
      <c r="P104" s="87">
        <v>6.2668425423981304</v>
      </c>
      <c r="Q104" s="87">
        <v>3.98433497235983</v>
      </c>
    </row>
    <row r="105" spans="1:17" x14ac:dyDescent="0.3">
      <c r="A105" s="101" t="s">
        <v>52</v>
      </c>
      <c r="B105" s="101" t="s">
        <v>64</v>
      </c>
      <c r="C105" s="101">
        <v>145.4</v>
      </c>
      <c r="D105" s="101">
        <v>-6.1</v>
      </c>
      <c r="E105" s="101">
        <v>9000</v>
      </c>
      <c r="F105" s="101">
        <v>100</v>
      </c>
      <c r="G105" s="102">
        <v>145.41652647615001</v>
      </c>
      <c r="H105" s="102">
        <v>-6.4168058898500204</v>
      </c>
      <c r="I105" s="103">
        <v>9000</v>
      </c>
      <c r="J105" s="104">
        <v>4.1582269929040496</v>
      </c>
      <c r="K105" s="104">
        <v>2.0650714168584501</v>
      </c>
      <c r="L105" s="105" t="s">
        <v>67</v>
      </c>
      <c r="M105" s="48">
        <v>3.8385065018784701</v>
      </c>
      <c r="N105" s="48">
        <v>2.3670894539220502</v>
      </c>
      <c r="O105" s="106" t="s">
        <v>67</v>
      </c>
      <c r="P105" s="25">
        <v>3.8385065018784701</v>
      </c>
      <c r="Q105" s="25">
        <v>2.3670894539220502</v>
      </c>
    </row>
    <row r="106" spans="1:17" x14ac:dyDescent="0.3">
      <c r="A106" s="101" t="s">
        <v>53</v>
      </c>
      <c r="B106" s="101" t="s">
        <v>64</v>
      </c>
      <c r="C106" s="101">
        <v>143</v>
      </c>
      <c r="D106" s="101">
        <v>-4</v>
      </c>
      <c r="E106" s="101">
        <v>9000</v>
      </c>
      <c r="F106" s="101">
        <v>100</v>
      </c>
      <c r="G106" s="102">
        <v>143.74985981615001</v>
      </c>
      <c r="H106" s="102">
        <v>-4.7501392298500296</v>
      </c>
      <c r="I106" s="103">
        <v>9000</v>
      </c>
      <c r="J106" s="104">
        <v>4.3072526927375803</v>
      </c>
      <c r="K106" s="104">
        <v>0.98602417930770003</v>
      </c>
      <c r="L106" s="105" t="s">
        <v>67</v>
      </c>
      <c r="M106" s="86">
        <v>4.3652811143812702</v>
      </c>
      <c r="N106" s="86">
        <v>1.4283424793772499</v>
      </c>
      <c r="O106" s="106" t="s">
        <v>67</v>
      </c>
      <c r="P106" s="87">
        <v>4.3652811143812702</v>
      </c>
      <c r="Q106" s="87">
        <v>1.4283424793772499</v>
      </c>
    </row>
    <row r="107" spans="1:17" x14ac:dyDescent="0.3">
      <c r="A107" s="96" t="s">
        <v>57</v>
      </c>
      <c r="B107" s="96" t="s">
        <v>66</v>
      </c>
      <c r="C107" s="96">
        <v>-68</v>
      </c>
      <c r="D107" s="96">
        <v>3</v>
      </c>
      <c r="E107" s="96">
        <v>7500</v>
      </c>
      <c r="F107" s="96">
        <v>1000</v>
      </c>
      <c r="G107" s="19">
        <v>-68.750139333850001</v>
      </c>
      <c r="H107" s="19">
        <v>3.58319407014997</v>
      </c>
      <c r="I107" s="51">
        <v>8000</v>
      </c>
      <c r="J107" s="21">
        <v>4.7665242960593002</v>
      </c>
      <c r="K107" s="21">
        <v>0.89931249224228504</v>
      </c>
      <c r="L107" s="41">
        <v>1000</v>
      </c>
      <c r="M107" s="84">
        <v>4.9737900654575302</v>
      </c>
      <c r="N107" s="84">
        <v>1.4594379661572501</v>
      </c>
      <c r="O107" s="42" t="s">
        <v>67</v>
      </c>
      <c r="P107" s="25">
        <v>4.9350819723747303</v>
      </c>
      <c r="Q107" s="25">
        <v>1.5356667247956699</v>
      </c>
    </row>
    <row r="108" spans="1:17" x14ac:dyDescent="0.3">
      <c r="A108" s="4"/>
      <c r="B108" s="4"/>
      <c r="C108" s="4"/>
      <c r="D108" s="4"/>
      <c r="E108" s="4"/>
      <c r="F108" s="4"/>
      <c r="G108" s="19"/>
      <c r="H108" s="19"/>
      <c r="I108" s="51">
        <v>7000</v>
      </c>
      <c r="J108" s="21">
        <v>4.73420560759096</v>
      </c>
      <c r="K108" s="21">
        <v>0.96005462891411797</v>
      </c>
      <c r="L108" s="41"/>
      <c r="M108" s="48"/>
      <c r="N108" s="48"/>
      <c r="O108" s="42"/>
      <c r="P108" s="25"/>
      <c r="Q108" s="25"/>
    </row>
    <row r="109" spans="1:17" x14ac:dyDescent="0.3">
      <c r="A109" s="88"/>
      <c r="B109" s="88"/>
      <c r="C109" s="88"/>
      <c r="D109" s="88"/>
      <c r="E109" s="88"/>
      <c r="F109" s="88"/>
      <c r="G109" s="89"/>
      <c r="H109" s="89"/>
      <c r="I109" s="110" t="s">
        <v>68</v>
      </c>
      <c r="J109" s="91">
        <f>AVERAGE(J107:J108)</f>
        <v>4.7503649518251301</v>
      </c>
      <c r="K109" s="91">
        <f>AVERAGE(K107:K108)</f>
        <v>0.92968356057820145</v>
      </c>
      <c r="L109" s="92"/>
      <c r="M109" s="93"/>
      <c r="N109" s="93"/>
      <c r="O109" s="94"/>
      <c r="P109" s="95"/>
      <c r="Q109" s="95"/>
    </row>
    <row r="110" spans="1:17" x14ac:dyDescent="0.3">
      <c r="A110" s="101" t="s">
        <v>58</v>
      </c>
      <c r="B110" s="101" t="s">
        <v>66</v>
      </c>
      <c r="C110" s="101">
        <v>-63</v>
      </c>
      <c r="D110" s="101">
        <v>-10</v>
      </c>
      <c r="E110" s="101">
        <v>7000</v>
      </c>
      <c r="F110" s="101">
        <v>1000</v>
      </c>
      <c r="G110" s="102">
        <v>-63.750139353850003</v>
      </c>
      <c r="H110" s="102">
        <v>-10.58347253985</v>
      </c>
      <c r="I110" s="103">
        <v>7000</v>
      </c>
      <c r="J110" s="104">
        <v>3.56666609163209</v>
      </c>
      <c r="K110" s="104">
        <v>-0.180176876548618</v>
      </c>
      <c r="L110" s="105">
        <v>1000</v>
      </c>
      <c r="M110" s="48">
        <v>3.0773462229395001</v>
      </c>
      <c r="N110" s="48">
        <v>-0.79791070429522304</v>
      </c>
      <c r="O110" s="106" t="s">
        <v>67</v>
      </c>
      <c r="P110" s="25">
        <v>2.5740187880409202</v>
      </c>
      <c r="Q110" s="25">
        <v>-1.4906185534576299</v>
      </c>
    </row>
    <row r="111" spans="1:17" x14ac:dyDescent="0.3">
      <c r="A111" s="96" t="s">
        <v>59</v>
      </c>
      <c r="B111" s="96" t="s">
        <v>66</v>
      </c>
      <c r="C111" s="96">
        <v>-62</v>
      </c>
      <c r="D111" s="96">
        <v>-11</v>
      </c>
      <c r="E111" s="96">
        <v>7000</v>
      </c>
      <c r="F111" s="96">
        <v>3000</v>
      </c>
      <c r="G111" s="119">
        <v>-62.083472693849998</v>
      </c>
      <c r="H111" s="119">
        <v>-11.41680586985</v>
      </c>
      <c r="I111" s="113">
        <v>7000</v>
      </c>
      <c r="J111" s="114">
        <v>3.0551333875383602</v>
      </c>
      <c r="K111" s="114">
        <v>-0.94368873470104997</v>
      </c>
      <c r="L111" s="97">
        <v>3000</v>
      </c>
      <c r="M111" s="84">
        <v>2.6089668559836201</v>
      </c>
      <c r="N111" s="84">
        <v>-1.5283169880851699</v>
      </c>
      <c r="O111" s="98" t="s">
        <v>67</v>
      </c>
      <c r="P111" s="120">
        <v>2.1928014930855002</v>
      </c>
      <c r="Q111" s="120">
        <v>-2.0567875047363202</v>
      </c>
    </row>
    <row r="112" spans="1:17" x14ac:dyDescent="0.3">
      <c r="A112" s="4"/>
      <c r="B112" s="4"/>
      <c r="C112" s="4"/>
      <c r="D112" s="4"/>
      <c r="E112" s="4"/>
      <c r="F112" s="4"/>
      <c r="G112" s="19">
        <v>-62.91680602385</v>
      </c>
      <c r="H112" s="19">
        <v>-11.41680586985</v>
      </c>
      <c r="I112" s="20"/>
      <c r="J112" s="21">
        <v>2.9898586669343699</v>
      </c>
      <c r="K112" s="21">
        <v>-0.87686471550336398</v>
      </c>
      <c r="L112" s="22"/>
      <c r="M112" s="48">
        <v>2.6895145734176702</v>
      </c>
      <c r="N112" s="48">
        <v>-1.2951577648974599</v>
      </c>
      <c r="O112" s="24"/>
      <c r="P112" s="25">
        <v>2.31028921493815</v>
      </c>
      <c r="Q112" s="25">
        <v>-1.8076513680239901</v>
      </c>
    </row>
    <row r="113" spans="1:17" x14ac:dyDescent="0.3">
      <c r="A113" s="88"/>
      <c r="B113" s="88"/>
      <c r="C113" s="88"/>
      <c r="D113" s="88"/>
      <c r="E113" s="88"/>
      <c r="F113" s="88"/>
      <c r="G113" s="26" t="s">
        <v>71</v>
      </c>
      <c r="H113" s="89"/>
      <c r="I113" s="110" t="s">
        <v>68</v>
      </c>
      <c r="J113" s="110">
        <f>AVERAGE(J111:J112)</f>
        <v>3.022496027236365</v>
      </c>
      <c r="K113" s="110">
        <f>AVERAGE(K111:K112)</f>
        <v>-0.91027672510220703</v>
      </c>
      <c r="L113" s="92" t="s">
        <v>68</v>
      </c>
      <c r="M113" s="93">
        <f>AVERAGE(M111:M112)</f>
        <v>2.6492407147006451</v>
      </c>
      <c r="N113" s="93">
        <f>AVERAGE(N111:N112)</f>
        <v>-1.411737376491315</v>
      </c>
      <c r="O113" s="94" t="s">
        <v>68</v>
      </c>
      <c r="P113" s="95">
        <f>AVERAGE(P111:P112)</f>
        <v>2.2515453540118253</v>
      </c>
      <c r="Q113" s="95">
        <f>AVERAGE(Q111:Q112)</f>
        <v>-1.932219436380155</v>
      </c>
    </row>
  </sheetData>
  <mergeCells count="174">
    <mergeCell ref="A1:A3"/>
    <mergeCell ref="B1:F2"/>
    <mergeCell ref="G1:Q1"/>
    <mergeCell ref="L2:N2"/>
    <mergeCell ref="O2:Q2"/>
    <mergeCell ref="G2:H2"/>
    <mergeCell ref="I2:K2"/>
    <mergeCell ref="L71:L72"/>
    <mergeCell ref="O71:O72"/>
    <mergeCell ref="L61:L62"/>
    <mergeCell ref="O61:O62"/>
    <mergeCell ref="L64:L65"/>
    <mergeCell ref="O64:O65"/>
    <mergeCell ref="A61:A63"/>
    <mergeCell ref="B61:B63"/>
    <mergeCell ref="C61:C63"/>
    <mergeCell ref="D61:D63"/>
    <mergeCell ref="E61:E63"/>
    <mergeCell ref="F61:F63"/>
    <mergeCell ref="A64:A66"/>
    <mergeCell ref="B64:B66"/>
    <mergeCell ref="C64:C66"/>
    <mergeCell ref="D64:D66"/>
    <mergeCell ref="E64:E66"/>
    <mergeCell ref="F64:F66"/>
    <mergeCell ref="A56:A58"/>
    <mergeCell ref="B56:B58"/>
    <mergeCell ref="C56:C58"/>
    <mergeCell ref="D56:D58"/>
    <mergeCell ref="E56:E58"/>
    <mergeCell ref="F56:F58"/>
    <mergeCell ref="I56:I57"/>
    <mergeCell ref="L56:L57"/>
    <mergeCell ref="O56:O57"/>
    <mergeCell ref="I42:I43"/>
    <mergeCell ref="I44:I45"/>
    <mergeCell ref="L42:L43"/>
    <mergeCell ref="O42:O43"/>
    <mergeCell ref="A53:A55"/>
    <mergeCell ref="B53:B55"/>
    <mergeCell ref="C53:C55"/>
    <mergeCell ref="D53:D55"/>
    <mergeCell ref="E53:E55"/>
    <mergeCell ref="F53:F55"/>
    <mergeCell ref="O36:O37"/>
    <mergeCell ref="A36:A38"/>
    <mergeCell ref="B36:B38"/>
    <mergeCell ref="C36:C38"/>
    <mergeCell ref="D36:D38"/>
    <mergeCell ref="E36:E38"/>
    <mergeCell ref="F36:F38"/>
    <mergeCell ref="A39:A41"/>
    <mergeCell ref="B39:B41"/>
    <mergeCell ref="C39:C41"/>
    <mergeCell ref="D39:D41"/>
    <mergeCell ref="E39:E41"/>
    <mergeCell ref="F39:F41"/>
    <mergeCell ref="L36:L37"/>
    <mergeCell ref="I36:I37"/>
    <mergeCell ref="L17:L18"/>
    <mergeCell ref="O17:O18"/>
    <mergeCell ref="A17:A21"/>
    <mergeCell ref="B17:B21"/>
    <mergeCell ref="C17:C21"/>
    <mergeCell ref="D17:D21"/>
    <mergeCell ref="E17:E21"/>
    <mergeCell ref="F17:F21"/>
    <mergeCell ref="L12:L13"/>
    <mergeCell ref="A9:A11"/>
    <mergeCell ref="B9:B11"/>
    <mergeCell ref="C9:C11"/>
    <mergeCell ref="D9:D11"/>
    <mergeCell ref="E9:E11"/>
    <mergeCell ref="F9:F11"/>
    <mergeCell ref="O12:O13"/>
    <mergeCell ref="A12:A16"/>
    <mergeCell ref="B12:B16"/>
    <mergeCell ref="C12:C16"/>
    <mergeCell ref="D12:D16"/>
    <mergeCell ref="E12:E16"/>
    <mergeCell ref="F12:F16"/>
    <mergeCell ref="I4:I7"/>
    <mergeCell ref="O22:O23"/>
    <mergeCell ref="I22:I23"/>
    <mergeCell ref="L22:L23"/>
    <mergeCell ref="A22:A26"/>
    <mergeCell ref="B22:B26"/>
    <mergeCell ref="C22:C26"/>
    <mergeCell ref="D22:D26"/>
    <mergeCell ref="E22:E26"/>
    <mergeCell ref="F22:F26"/>
    <mergeCell ref="L24:L25"/>
    <mergeCell ref="L4:L7"/>
    <mergeCell ref="A4:A8"/>
    <mergeCell ref="B4:B8"/>
    <mergeCell ref="C4:C8"/>
    <mergeCell ref="D4:D8"/>
    <mergeCell ref="E4:E8"/>
    <mergeCell ref="F4:F8"/>
    <mergeCell ref="O4:O7"/>
    <mergeCell ref="I12:I13"/>
    <mergeCell ref="I14:I15"/>
    <mergeCell ref="I17:I18"/>
    <mergeCell ref="I19:I20"/>
    <mergeCell ref="A42:A46"/>
    <mergeCell ref="B42:B46"/>
    <mergeCell ref="C42:C46"/>
    <mergeCell ref="D42:D46"/>
    <mergeCell ref="E42:E46"/>
    <mergeCell ref="F42:F46"/>
    <mergeCell ref="A27:A29"/>
    <mergeCell ref="B27:B29"/>
    <mergeCell ref="C27:C29"/>
    <mergeCell ref="D27:D29"/>
    <mergeCell ref="E27:E29"/>
    <mergeCell ref="F27:F29"/>
    <mergeCell ref="A31:A33"/>
    <mergeCell ref="B31:B33"/>
    <mergeCell ref="C31:C33"/>
    <mergeCell ref="D31:D33"/>
    <mergeCell ref="E31:E33"/>
    <mergeCell ref="F31:F33"/>
    <mergeCell ref="I80:I81"/>
    <mergeCell ref="A80:A82"/>
    <mergeCell ref="B80:B82"/>
    <mergeCell ref="C80:C82"/>
    <mergeCell ref="D80:D82"/>
    <mergeCell ref="E80:E82"/>
    <mergeCell ref="F80:F82"/>
    <mergeCell ref="A83:A87"/>
    <mergeCell ref="B83:B87"/>
    <mergeCell ref="C83:C87"/>
    <mergeCell ref="D83:D87"/>
    <mergeCell ref="E83:E87"/>
    <mergeCell ref="F83:F87"/>
    <mergeCell ref="I71:I72"/>
    <mergeCell ref="A71:A73"/>
    <mergeCell ref="B71:B73"/>
    <mergeCell ref="C71:C73"/>
    <mergeCell ref="D71:D73"/>
    <mergeCell ref="E71:E73"/>
    <mergeCell ref="F71:F73"/>
    <mergeCell ref="I61:I62"/>
    <mergeCell ref="I64:I65"/>
    <mergeCell ref="L83:L86"/>
    <mergeCell ref="O83:O86"/>
    <mergeCell ref="L89:L90"/>
    <mergeCell ref="A89:A93"/>
    <mergeCell ref="B89:B93"/>
    <mergeCell ref="C89:C93"/>
    <mergeCell ref="D89:D93"/>
    <mergeCell ref="E89:E93"/>
    <mergeCell ref="F89:F93"/>
    <mergeCell ref="I83:I86"/>
    <mergeCell ref="I89:I90"/>
    <mergeCell ref="L97:L98"/>
    <mergeCell ref="O97:O98"/>
    <mergeCell ref="I97:I98"/>
    <mergeCell ref="I111:I112"/>
    <mergeCell ref="L111:L112"/>
    <mergeCell ref="O111:O112"/>
    <mergeCell ref="A111:A113"/>
    <mergeCell ref="B111:B113"/>
    <mergeCell ref="C111:C113"/>
    <mergeCell ref="D111:D113"/>
    <mergeCell ref="E111:E113"/>
    <mergeCell ref="F111:F113"/>
    <mergeCell ref="A107:A109"/>
    <mergeCell ref="B107:B109"/>
    <mergeCell ref="C107:C109"/>
    <mergeCell ref="D107:D109"/>
    <mergeCell ref="E107:E109"/>
    <mergeCell ref="F107:F109"/>
    <mergeCell ref="A97:A99"/>
  </mergeCells>
  <pageMargins left="0.7" right="0.7" top="0.75" bottom="0.75" header="0.3" footer="0.3"/>
  <pageSetup paperSize="9" orientation="portrait" horizontalDpi="300" verticalDpi="300" r:id="rId1"/>
  <ignoredErrors>
    <ignoredError sqref="M11:N11 J33:K33 J38:K38 M38:N38 P38:Q38 J55:K55 J63:K63 M63:N63 P63:Q63 J73:K73 M73:N73 P73:Q73 J82:K82 M82:N82 P82:Q82 J93:K93 M93:N93 P93:Q93 J109:K109 J113:K113 M113:N113 P113:Q113 J99:K99 M99:N99 P99:Q99"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Metadata</vt:lpstr>
      <vt:lpstr>PCA_scores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GUERRERO　ADRIANA　MARCELA</dc:creator>
  <cp:lastModifiedBy>Adriana Morales</cp:lastModifiedBy>
  <dcterms:created xsi:type="dcterms:W3CDTF">2026-04-05T05:27:19Z</dcterms:created>
  <dcterms:modified xsi:type="dcterms:W3CDTF">2026-04-13T05:03:41Z</dcterms:modified>
</cp:coreProperties>
</file>